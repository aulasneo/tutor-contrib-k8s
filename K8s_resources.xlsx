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/Workspace/tutor-contrib-k8s/"/>
    </mc:Choice>
  </mc:AlternateContent>
  <xr:revisionPtr revIDLastSave="0" documentId="13_ncr:1_{02703341-6F0B-2D4A-A35E-DF45049C4ED5}" xr6:coauthVersionLast="47" xr6:coauthVersionMax="47" xr10:uidLastSave="{00000000-0000-0000-0000-000000000000}"/>
  <bookViews>
    <workbookView xWindow="4480" yWindow="2280" windowWidth="31360" windowHeight="17180" activeTab="1" xr2:uid="{2AE30D6F-2CB4-1747-8049-F7520800B1AD}"/>
  </bookViews>
  <sheets>
    <sheet name="Defaults" sheetId="1" r:id="rId1"/>
    <sheet name="Small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5" i="3" l="1"/>
  <c r="B186" i="3"/>
  <c r="D34" i="3"/>
  <c r="B60" i="3" s="1"/>
  <c r="E34" i="3"/>
  <c r="B85" i="3" s="1"/>
  <c r="F34" i="3"/>
  <c r="B110" i="3" s="1"/>
  <c r="G34" i="3"/>
  <c r="B135" i="3" s="1"/>
  <c r="H34" i="3"/>
  <c r="B160" i="3" s="1"/>
  <c r="I34" i="3"/>
  <c r="D35" i="3"/>
  <c r="B61" i="3" s="1"/>
  <c r="E35" i="3"/>
  <c r="B86" i="3" s="1"/>
  <c r="F35" i="3"/>
  <c r="B111" i="3" s="1"/>
  <c r="G35" i="3"/>
  <c r="B136" i="3" s="1"/>
  <c r="H35" i="3"/>
  <c r="B161" i="3" s="1"/>
  <c r="I35" i="3"/>
  <c r="B115" i="3"/>
  <c r="B87" i="3"/>
  <c r="E36" i="3"/>
  <c r="F36" i="3"/>
  <c r="B112" i="3" s="1"/>
  <c r="G36" i="3"/>
  <c r="B137" i="3" s="1"/>
  <c r="H36" i="3"/>
  <c r="B162" i="3" s="1"/>
  <c r="I36" i="3"/>
  <c r="B187" i="3" s="1"/>
  <c r="E37" i="3"/>
  <c r="B88" i="3" s="1"/>
  <c r="F37" i="3"/>
  <c r="B113" i="3" s="1"/>
  <c r="G37" i="3"/>
  <c r="B138" i="3" s="1"/>
  <c r="H37" i="3"/>
  <c r="B163" i="3" s="1"/>
  <c r="I37" i="3"/>
  <c r="B188" i="3" s="1"/>
  <c r="E38" i="3"/>
  <c r="B89" i="3" s="1"/>
  <c r="F38" i="3"/>
  <c r="B114" i="3" s="1"/>
  <c r="G38" i="3"/>
  <c r="B139" i="3" s="1"/>
  <c r="H38" i="3"/>
  <c r="B164" i="3" s="1"/>
  <c r="I38" i="3"/>
  <c r="B189" i="3" s="1"/>
  <c r="E39" i="3"/>
  <c r="B90" i="3" s="1"/>
  <c r="F39" i="3"/>
  <c r="G39" i="3"/>
  <c r="B140" i="3" s="1"/>
  <c r="H39" i="3"/>
  <c r="B165" i="3" s="1"/>
  <c r="I39" i="3"/>
  <c r="B190" i="3" s="1"/>
  <c r="E40" i="3"/>
  <c r="B91" i="3" s="1"/>
  <c r="F40" i="3"/>
  <c r="B116" i="3" s="1"/>
  <c r="G40" i="3"/>
  <c r="B141" i="3" s="1"/>
  <c r="H40" i="3"/>
  <c r="B166" i="3" s="1"/>
  <c r="I40" i="3"/>
  <c r="B191" i="3" s="1"/>
  <c r="E41" i="3"/>
  <c r="B92" i="3" s="1"/>
  <c r="F41" i="3"/>
  <c r="B117" i="3" s="1"/>
  <c r="G41" i="3"/>
  <c r="B142" i="3" s="1"/>
  <c r="H41" i="3"/>
  <c r="B167" i="3" s="1"/>
  <c r="I41" i="3"/>
  <c r="B192" i="3" s="1"/>
  <c r="E42" i="3"/>
  <c r="B93" i="3" s="1"/>
  <c r="F42" i="3"/>
  <c r="B118" i="3" s="1"/>
  <c r="G42" i="3"/>
  <c r="B143" i="3" s="1"/>
  <c r="H42" i="3"/>
  <c r="B168" i="3" s="1"/>
  <c r="I42" i="3"/>
  <c r="B193" i="3" s="1"/>
  <c r="E43" i="3"/>
  <c r="B94" i="3" s="1"/>
  <c r="F43" i="3"/>
  <c r="B119" i="3" s="1"/>
  <c r="G43" i="3"/>
  <c r="B144" i="3" s="1"/>
  <c r="H43" i="3"/>
  <c r="B169" i="3" s="1"/>
  <c r="I43" i="3"/>
  <c r="B194" i="3" s="1"/>
  <c r="E44" i="3"/>
  <c r="B95" i="3" s="1"/>
  <c r="F44" i="3"/>
  <c r="B120" i="3" s="1"/>
  <c r="G44" i="3"/>
  <c r="B145" i="3" s="1"/>
  <c r="H44" i="3"/>
  <c r="B170" i="3" s="1"/>
  <c r="I44" i="3"/>
  <c r="B195" i="3" s="1"/>
  <c r="E45" i="3"/>
  <c r="B96" i="3" s="1"/>
  <c r="F45" i="3"/>
  <c r="B121" i="3" s="1"/>
  <c r="G45" i="3"/>
  <c r="B146" i="3" s="1"/>
  <c r="H45" i="3"/>
  <c r="B171" i="3" s="1"/>
  <c r="I45" i="3"/>
  <c r="B196" i="3" s="1"/>
  <c r="E46" i="3"/>
  <c r="B97" i="3" s="1"/>
  <c r="F46" i="3"/>
  <c r="B122" i="3" s="1"/>
  <c r="G46" i="3"/>
  <c r="B147" i="3" s="1"/>
  <c r="H46" i="3"/>
  <c r="B172" i="3" s="1"/>
  <c r="I46" i="3"/>
  <c r="B197" i="3" s="1"/>
  <c r="E47" i="3"/>
  <c r="B98" i="3" s="1"/>
  <c r="F47" i="3"/>
  <c r="B123" i="3" s="1"/>
  <c r="G47" i="3"/>
  <c r="B148" i="3" s="1"/>
  <c r="H47" i="3"/>
  <c r="B173" i="3" s="1"/>
  <c r="I47" i="3"/>
  <c r="B198" i="3" s="1"/>
  <c r="E48" i="3"/>
  <c r="B99" i="3" s="1"/>
  <c r="F48" i="3"/>
  <c r="B124" i="3" s="1"/>
  <c r="G48" i="3"/>
  <c r="B149" i="3" s="1"/>
  <c r="H48" i="3"/>
  <c r="B174" i="3" s="1"/>
  <c r="I48" i="3"/>
  <c r="B199" i="3" s="1"/>
  <c r="E49" i="3"/>
  <c r="B100" i="3" s="1"/>
  <c r="F49" i="3"/>
  <c r="B125" i="3" s="1"/>
  <c r="G49" i="3"/>
  <c r="B150" i="3" s="1"/>
  <c r="H49" i="3"/>
  <c r="B175" i="3" s="1"/>
  <c r="I49" i="3"/>
  <c r="B200" i="3" s="1"/>
  <c r="E50" i="3"/>
  <c r="B101" i="3" s="1"/>
  <c r="F50" i="3"/>
  <c r="B126" i="3" s="1"/>
  <c r="G50" i="3"/>
  <c r="B151" i="3" s="1"/>
  <c r="H50" i="3"/>
  <c r="B176" i="3" s="1"/>
  <c r="I50" i="3"/>
  <c r="B201" i="3" s="1"/>
  <c r="E51" i="3"/>
  <c r="B102" i="3" s="1"/>
  <c r="F51" i="3"/>
  <c r="B127" i="3" s="1"/>
  <c r="G51" i="3"/>
  <c r="B152" i="3" s="1"/>
  <c r="H51" i="3"/>
  <c r="B177" i="3" s="1"/>
  <c r="I51" i="3"/>
  <c r="B202" i="3" s="1"/>
  <c r="E52" i="3"/>
  <c r="B103" i="3" s="1"/>
  <c r="F52" i="3"/>
  <c r="B128" i="3" s="1"/>
  <c r="G52" i="3"/>
  <c r="B153" i="3" s="1"/>
  <c r="H52" i="3"/>
  <c r="B178" i="3" s="1"/>
  <c r="I52" i="3"/>
  <c r="B203" i="3" s="1"/>
  <c r="E53" i="3"/>
  <c r="B104" i="3" s="1"/>
  <c r="F53" i="3"/>
  <c r="B129" i="3" s="1"/>
  <c r="G53" i="3"/>
  <c r="B154" i="3" s="1"/>
  <c r="H53" i="3"/>
  <c r="B179" i="3" s="1"/>
  <c r="I53" i="3"/>
  <c r="B204" i="3" s="1"/>
  <c r="E54" i="3"/>
  <c r="B105" i="3" s="1"/>
  <c r="F54" i="3"/>
  <c r="B130" i="3" s="1"/>
  <c r="G54" i="3"/>
  <c r="B155" i="3" s="1"/>
  <c r="H54" i="3"/>
  <c r="B180" i="3" s="1"/>
  <c r="I54" i="3"/>
  <c r="B205" i="3" s="1"/>
  <c r="E55" i="3"/>
  <c r="B106" i="3" s="1"/>
  <c r="F55" i="3"/>
  <c r="B131" i="3" s="1"/>
  <c r="G55" i="3"/>
  <c r="B156" i="3" s="1"/>
  <c r="H55" i="3"/>
  <c r="B181" i="3" s="1"/>
  <c r="I55" i="3"/>
  <c r="B206" i="3" s="1"/>
  <c r="E56" i="3"/>
  <c r="B107" i="3" s="1"/>
  <c r="F56" i="3"/>
  <c r="B132" i="3" s="1"/>
  <c r="G56" i="3"/>
  <c r="B157" i="3" s="1"/>
  <c r="H56" i="3"/>
  <c r="B182" i="3" s="1"/>
  <c r="I56" i="3"/>
  <c r="B207" i="3" s="1"/>
  <c r="E57" i="3"/>
  <c r="B108" i="3" s="1"/>
  <c r="F57" i="3"/>
  <c r="B133" i="3" s="1"/>
  <c r="G57" i="3"/>
  <c r="B158" i="3" s="1"/>
  <c r="H57" i="3"/>
  <c r="B183" i="3" s="1"/>
  <c r="I57" i="3"/>
  <c r="B208" i="3" s="1"/>
  <c r="E58" i="3"/>
  <c r="B109" i="3" s="1"/>
  <c r="F58" i="3"/>
  <c r="B134" i="3" s="1"/>
  <c r="G58" i="3"/>
  <c r="B159" i="3" s="1"/>
  <c r="H58" i="3"/>
  <c r="B184" i="3" s="1"/>
  <c r="I58" i="3"/>
  <c r="B209" i="3" s="1"/>
  <c r="D37" i="3"/>
  <c r="B63" i="3" s="1"/>
  <c r="D38" i="3"/>
  <c r="B64" i="3" s="1"/>
  <c r="D39" i="3"/>
  <c r="B65" i="3" s="1"/>
  <c r="D40" i="3"/>
  <c r="B66" i="3" s="1"/>
  <c r="D41" i="3"/>
  <c r="B67" i="3" s="1"/>
  <c r="D42" i="3"/>
  <c r="B68" i="3" s="1"/>
  <c r="D43" i="3"/>
  <c r="B69" i="3" s="1"/>
  <c r="D44" i="3"/>
  <c r="B70" i="3" s="1"/>
  <c r="D45" i="3"/>
  <c r="B71" i="3" s="1"/>
  <c r="D46" i="3"/>
  <c r="B72" i="3" s="1"/>
  <c r="D47" i="3"/>
  <c r="B73" i="3" s="1"/>
  <c r="D48" i="3"/>
  <c r="B74" i="3" s="1"/>
  <c r="D49" i="3"/>
  <c r="B75" i="3" s="1"/>
  <c r="D50" i="3"/>
  <c r="B76" i="3" s="1"/>
  <c r="D51" i="3"/>
  <c r="B77" i="3" s="1"/>
  <c r="D52" i="3"/>
  <c r="B78" i="3" s="1"/>
  <c r="D53" i="3"/>
  <c r="B79" i="3" s="1"/>
  <c r="D54" i="3"/>
  <c r="B80" i="3" s="1"/>
  <c r="D55" i="3"/>
  <c r="B81" i="3" s="1"/>
  <c r="D56" i="3"/>
  <c r="B82" i="3" s="1"/>
  <c r="D57" i="3"/>
  <c r="B83" i="3" s="1"/>
  <c r="D58" i="3"/>
  <c r="B84" i="3" s="1"/>
  <c r="D36" i="3"/>
  <c r="B62" i="3" s="1"/>
  <c r="D28" i="3"/>
  <c r="E28" i="3"/>
  <c r="F28" i="3"/>
  <c r="G28" i="3"/>
  <c r="H28" i="3"/>
  <c r="I28" i="3"/>
  <c r="D29" i="3"/>
  <c r="E29" i="3"/>
  <c r="F29" i="3"/>
  <c r="G29" i="3"/>
  <c r="H29" i="3"/>
  <c r="I29" i="3"/>
  <c r="D30" i="3"/>
  <c r="E30" i="3"/>
  <c r="F30" i="3"/>
  <c r="G30" i="3"/>
  <c r="H30" i="3"/>
  <c r="I30" i="3"/>
  <c r="D31" i="3"/>
  <c r="E31" i="3"/>
  <c r="F31" i="3"/>
  <c r="G31" i="3"/>
  <c r="H31" i="3"/>
  <c r="I31" i="3"/>
  <c r="I29" i="1"/>
  <c r="H29" i="1"/>
  <c r="G29" i="1"/>
  <c r="F29" i="1"/>
  <c r="E29" i="1"/>
  <c r="J29" i="1" s="1"/>
  <c r="K29" i="1" s="1"/>
  <c r="I28" i="1"/>
  <c r="H28" i="1"/>
  <c r="G28" i="1"/>
  <c r="F28" i="1"/>
  <c r="E28" i="1"/>
  <c r="J28" i="1" s="1"/>
  <c r="K28" i="1" s="1"/>
  <c r="D29" i="1"/>
  <c r="D28" i="1"/>
  <c r="I27" i="1"/>
  <c r="H27" i="1"/>
  <c r="G27" i="1"/>
  <c r="F27" i="1"/>
  <c r="E27" i="1"/>
  <c r="D27" i="1"/>
  <c r="J27" i="1" s="1"/>
  <c r="K27" i="1" s="1"/>
  <c r="I26" i="1"/>
  <c r="H26" i="1"/>
  <c r="G26" i="1"/>
  <c r="F26" i="1"/>
  <c r="E26" i="1"/>
  <c r="D26" i="1"/>
  <c r="J26" i="1" s="1"/>
  <c r="K26" i="1" s="1"/>
  <c r="J31" i="3" l="1"/>
  <c r="K31" i="3" s="1"/>
  <c r="J28" i="3"/>
  <c r="K28" i="3" s="1"/>
  <c r="J30" i="3"/>
  <c r="K30" i="3" s="1"/>
  <c r="J29" i="3"/>
  <c r="K29" i="3" s="1"/>
</calcChain>
</file>

<file path=xl/sharedStrings.xml><?xml version="1.0" encoding="utf-8"?>
<sst xmlns="http://schemas.openxmlformats.org/spreadsheetml/2006/main" count="142" uniqueCount="46">
  <si>
    <t>LMS</t>
  </si>
  <si>
    <t>LMS_WORKER</t>
  </si>
  <si>
    <t>CMS</t>
  </si>
  <si>
    <t>CMS_WORKER</t>
  </si>
  <si>
    <t>CADDY</t>
  </si>
  <si>
    <t>MFE</t>
  </si>
  <si>
    <t>HPA_CPU_AVERAGE_UTILIZATION</t>
  </si>
  <si>
    <t>HPA_MEMORY_AVERAGE_UTILIZATION</t>
  </si>
  <si>
    <t>HPA_SCALE_UP_STABILIZATION_WINDOW_SECONDS</t>
  </si>
  <si>
    <t>HPA_SCALE_UP_PERCENT</t>
  </si>
  <si>
    <t>HPA_SCALE_UP_PODS</t>
  </si>
  <si>
    <t>HPA_SCALE_UP_PERIOD_SECONDS</t>
  </si>
  <si>
    <t>HPA_SCALE_DOWN_STABILIZATION_WINDOW_SECONDS</t>
  </si>
  <si>
    <t>HPA_SCALE_DOWN_PERCENT</t>
  </si>
  <si>
    <t>HPA_SCALE_DOWN_PODS</t>
  </si>
  <si>
    <t>HPA_SCALE_DOWN_PERIOD_SECONDS</t>
  </si>
  <si>
    <t>HPA</t>
  </si>
  <si>
    <t>CPU_REQUEST</t>
  </si>
  <si>
    <t>MEMORY_REQUEST</t>
  </si>
  <si>
    <t>CPU_LIMIT</t>
  </si>
  <si>
    <t>MEMORY_LIMIT</t>
  </si>
  <si>
    <t>REPLICAS</t>
  </si>
  <si>
    <t>MAX_REPLICAS</t>
  </si>
  <si>
    <t>REQUEST</t>
  </si>
  <si>
    <t>LIMIT</t>
  </si>
  <si>
    <t>True</t>
  </si>
  <si>
    <t>False</t>
  </si>
  <si>
    <t>PDB_ENABLE</t>
  </si>
  <si>
    <t>MIN_AVAILABLE_REPLICAS</t>
  </si>
  <si>
    <t>VPA_ENABLE</t>
  </si>
  <si>
    <t>VPA_MIN_ALLOWED_CPU</t>
  </si>
  <si>
    <t>VPA_MAX_ALLOWED_CPU</t>
  </si>
  <si>
    <t>VPA_MIN_ALLOWED_MEMORY</t>
  </si>
  <si>
    <t>VPA_MAX_ALLOWED_MEMORY</t>
  </si>
  <si>
    <t>PDB</t>
  </si>
  <si>
    <t>VPA</t>
  </si>
  <si>
    <t>Unit</t>
  </si>
  <si>
    <t>m</t>
  </si>
  <si>
    <t>Mi</t>
  </si>
  <si>
    <t>Minimum CPU Requested</t>
  </si>
  <si>
    <t>Maximum CPU Limit</t>
  </si>
  <si>
    <t>Minimum Memory Requested</t>
  </si>
  <si>
    <t>Maximum Memory Limit</t>
  </si>
  <si>
    <t>t3.large</t>
  </si>
  <si>
    <t>HPA_CPU_ENABLE</t>
  </si>
  <si>
    <t>HPA_MEMORY_ENABLE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</si>
</sst>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2" applyFont="1" applyAlignment="1">
      <alignment horizontal="center"/>
    </xf>
    <xf numFmtId="43" fontId="0" fillId="0" borderId="0" xfId="1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6542-941C-2641-8008-B818E8971EE7}">
  <dimension ref="A1:K29"/>
  <sheetViews>
    <sheetView workbookViewId="0">
      <selection activeCell="D25" sqref="D25"/>
    </sheetView>
  </sheetViews>
  <sheetFormatPr baseColWidth="10" defaultRowHeight="16" x14ac:dyDescent="0.2"/>
  <cols>
    <col min="1" max="1" width="9" style="1" bestFit="1" customWidth="1"/>
    <col min="2" max="2" width="48.6640625" style="3" bestFit="1" customWidth="1"/>
    <col min="3" max="3" width="4.5" style="3" bestFit="1" customWidth="1"/>
    <col min="4" max="9" width="15.1640625" style="1" customWidth="1"/>
    <col min="10" max="16384" width="10.83203125" style="1"/>
  </cols>
  <sheetData>
    <row r="1" spans="1:9" x14ac:dyDescent="0.2">
      <c r="C1" s="3" t="s">
        <v>36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">
      <c r="A2" s="2" t="s">
        <v>16</v>
      </c>
      <c r="B2" s="3" t="s">
        <v>6</v>
      </c>
      <c r="D2" s="1">
        <v>80</v>
      </c>
      <c r="E2" s="1">
        <v>80</v>
      </c>
      <c r="F2" s="1">
        <v>80</v>
      </c>
      <c r="G2" s="1">
        <v>80</v>
      </c>
      <c r="H2" s="1">
        <v>80</v>
      </c>
      <c r="I2" s="1">
        <v>80</v>
      </c>
    </row>
    <row r="3" spans="1:9" x14ac:dyDescent="0.2">
      <c r="A3" s="2"/>
      <c r="B3" s="3" t="s">
        <v>7</v>
      </c>
      <c r="D3" s="1">
        <v>80</v>
      </c>
      <c r="E3" s="1">
        <v>80</v>
      </c>
      <c r="F3" s="1">
        <v>80</v>
      </c>
      <c r="G3" s="1">
        <v>80</v>
      </c>
      <c r="H3" s="1">
        <v>80</v>
      </c>
      <c r="I3" s="1">
        <v>80</v>
      </c>
    </row>
    <row r="4" spans="1:9" x14ac:dyDescent="0.2">
      <c r="A4" s="2"/>
      <c r="B4" s="3" t="s">
        <v>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2"/>
      <c r="B5" s="3" t="s">
        <v>9</v>
      </c>
      <c r="D5" s="1">
        <v>100</v>
      </c>
      <c r="E5" s="1">
        <v>100</v>
      </c>
      <c r="F5" s="1">
        <v>100</v>
      </c>
      <c r="G5" s="1">
        <v>100</v>
      </c>
      <c r="H5" s="1">
        <v>100</v>
      </c>
      <c r="I5" s="1">
        <v>100</v>
      </c>
    </row>
    <row r="6" spans="1:9" x14ac:dyDescent="0.2">
      <c r="A6" s="2"/>
      <c r="B6" s="3" t="s">
        <v>10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4</v>
      </c>
    </row>
    <row r="7" spans="1:9" x14ac:dyDescent="0.2">
      <c r="A7" s="2"/>
      <c r="B7" s="3" t="s">
        <v>11</v>
      </c>
      <c r="D7" s="1">
        <v>60</v>
      </c>
      <c r="E7" s="1">
        <v>60</v>
      </c>
      <c r="F7" s="1">
        <v>60</v>
      </c>
      <c r="G7" s="1">
        <v>60</v>
      </c>
      <c r="H7" s="1">
        <v>60</v>
      </c>
      <c r="I7" s="1">
        <v>60</v>
      </c>
    </row>
    <row r="8" spans="1:9" x14ac:dyDescent="0.2">
      <c r="A8" s="2"/>
      <c r="B8" s="3" t="s">
        <v>12</v>
      </c>
      <c r="D8" s="1">
        <v>300</v>
      </c>
      <c r="E8" s="1">
        <v>300</v>
      </c>
      <c r="F8" s="1">
        <v>300</v>
      </c>
      <c r="G8" s="1">
        <v>300</v>
      </c>
      <c r="H8" s="1">
        <v>300</v>
      </c>
      <c r="I8" s="1">
        <v>300</v>
      </c>
    </row>
    <row r="9" spans="1:9" x14ac:dyDescent="0.2">
      <c r="A9" s="2"/>
      <c r="B9" s="3" t="s">
        <v>13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</row>
    <row r="10" spans="1:9" x14ac:dyDescent="0.2">
      <c r="A10" s="2"/>
      <c r="B10" s="3" t="s">
        <v>14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</row>
    <row r="11" spans="1:9" x14ac:dyDescent="0.2">
      <c r="A11" s="2"/>
      <c r="B11" s="3" t="s">
        <v>15</v>
      </c>
      <c r="D11" s="1">
        <v>60</v>
      </c>
      <c r="E11" s="1">
        <v>60</v>
      </c>
      <c r="F11" s="1">
        <v>60</v>
      </c>
      <c r="G11" s="1">
        <v>60</v>
      </c>
      <c r="H11" s="1">
        <v>60</v>
      </c>
      <c r="I11" s="1">
        <v>60</v>
      </c>
    </row>
    <row r="12" spans="1:9" x14ac:dyDescent="0.2">
      <c r="A12" s="2"/>
      <c r="B12" s="3" t="s">
        <v>21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</row>
    <row r="13" spans="1:9" x14ac:dyDescent="0.2">
      <c r="A13" s="2"/>
      <c r="B13" s="3" t="s">
        <v>22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</row>
    <row r="14" spans="1:9" x14ac:dyDescent="0.2">
      <c r="A14" s="2" t="s">
        <v>23</v>
      </c>
      <c r="B14" s="3" t="s">
        <v>17</v>
      </c>
      <c r="C14" s="3" t="s">
        <v>37</v>
      </c>
      <c r="D14" s="1">
        <v>100</v>
      </c>
      <c r="E14" s="1">
        <v>100</v>
      </c>
      <c r="F14" s="1">
        <v>100</v>
      </c>
      <c r="G14" s="1">
        <v>100</v>
      </c>
      <c r="H14" s="1">
        <v>100</v>
      </c>
      <c r="I14" s="1">
        <v>100</v>
      </c>
    </row>
    <row r="15" spans="1:9" x14ac:dyDescent="0.2">
      <c r="A15" s="2"/>
      <c r="B15" s="3" t="s">
        <v>18</v>
      </c>
      <c r="C15" s="3" t="s">
        <v>38</v>
      </c>
      <c r="D15" s="1">
        <v>1500</v>
      </c>
      <c r="E15" s="1">
        <v>1500</v>
      </c>
      <c r="F15" s="1">
        <v>1500</v>
      </c>
      <c r="G15" s="1">
        <v>1500</v>
      </c>
      <c r="H15" s="1">
        <v>1500</v>
      </c>
      <c r="I15" s="1">
        <v>1500</v>
      </c>
    </row>
    <row r="16" spans="1:9" x14ac:dyDescent="0.2">
      <c r="A16" s="2" t="s">
        <v>24</v>
      </c>
      <c r="B16" s="3" t="s">
        <v>19</v>
      </c>
      <c r="C16" s="3" t="s">
        <v>37</v>
      </c>
      <c r="D16" s="1">
        <v>100</v>
      </c>
      <c r="E16" s="1">
        <v>100</v>
      </c>
      <c r="F16" s="1">
        <v>100</v>
      </c>
      <c r="G16" s="1">
        <v>100</v>
      </c>
      <c r="H16" s="1">
        <v>100</v>
      </c>
      <c r="I16" s="1">
        <v>100</v>
      </c>
    </row>
    <row r="17" spans="1:11" x14ac:dyDescent="0.2">
      <c r="A17" s="2"/>
      <c r="B17" s="3" t="s">
        <v>20</v>
      </c>
      <c r="C17" s="3" t="s">
        <v>38</v>
      </c>
      <c r="D17" s="1">
        <v>2000</v>
      </c>
      <c r="E17" s="1">
        <v>2000</v>
      </c>
      <c r="F17" s="1">
        <v>2000</v>
      </c>
      <c r="G17" s="1">
        <v>2000</v>
      </c>
      <c r="H17" s="1">
        <v>2000</v>
      </c>
      <c r="I17" s="1">
        <v>2000</v>
      </c>
    </row>
    <row r="18" spans="1:11" x14ac:dyDescent="0.2">
      <c r="A18" s="2" t="s">
        <v>34</v>
      </c>
      <c r="B18" s="3" t="s">
        <v>27</v>
      </c>
      <c r="D18" s="1" t="s">
        <v>25</v>
      </c>
      <c r="E18" s="1" t="s">
        <v>25</v>
      </c>
      <c r="F18" s="1" t="s">
        <v>25</v>
      </c>
      <c r="G18" s="1" t="s">
        <v>25</v>
      </c>
      <c r="H18" s="1" t="s">
        <v>25</v>
      </c>
      <c r="I18" s="1" t="s">
        <v>25</v>
      </c>
    </row>
    <row r="19" spans="1:11" x14ac:dyDescent="0.2">
      <c r="A19" s="2"/>
      <c r="B19" s="3" t="s">
        <v>28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</row>
    <row r="20" spans="1:11" x14ac:dyDescent="0.2">
      <c r="A20" s="2" t="s">
        <v>35</v>
      </c>
      <c r="B20" s="3" t="s">
        <v>29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26</v>
      </c>
    </row>
    <row r="21" spans="1:11" x14ac:dyDescent="0.2">
      <c r="A21" s="2"/>
      <c r="B21" s="3" t="s">
        <v>30</v>
      </c>
      <c r="C21" s="3" t="s">
        <v>37</v>
      </c>
      <c r="D21" s="1">
        <v>20</v>
      </c>
      <c r="E21" s="1">
        <v>20</v>
      </c>
      <c r="F21" s="1">
        <v>20</v>
      </c>
      <c r="G21" s="1">
        <v>20</v>
      </c>
      <c r="H21" s="1">
        <v>20</v>
      </c>
      <c r="I21" s="1">
        <v>20</v>
      </c>
    </row>
    <row r="22" spans="1:11" x14ac:dyDescent="0.2">
      <c r="A22" s="2"/>
      <c r="B22" s="3" t="s">
        <v>31</v>
      </c>
      <c r="C22" s="3" t="s">
        <v>37</v>
      </c>
      <c r="D22" s="1">
        <v>100</v>
      </c>
      <c r="E22" s="1">
        <v>100</v>
      </c>
      <c r="F22" s="1">
        <v>100</v>
      </c>
      <c r="G22" s="1">
        <v>100</v>
      </c>
      <c r="H22" s="1">
        <v>100</v>
      </c>
      <c r="I22" s="1">
        <v>100</v>
      </c>
    </row>
    <row r="23" spans="1:11" x14ac:dyDescent="0.2">
      <c r="A23" s="2"/>
      <c r="B23" s="3" t="s">
        <v>32</v>
      </c>
      <c r="C23" s="3" t="s">
        <v>38</v>
      </c>
      <c r="D23" s="1">
        <v>1500</v>
      </c>
      <c r="E23" s="1">
        <v>1500</v>
      </c>
      <c r="F23" s="1">
        <v>1500</v>
      </c>
      <c r="G23" s="1">
        <v>1500</v>
      </c>
      <c r="H23" s="1">
        <v>1500</v>
      </c>
      <c r="I23" s="1">
        <v>1500</v>
      </c>
    </row>
    <row r="24" spans="1:11" x14ac:dyDescent="0.2">
      <c r="A24" s="2"/>
      <c r="B24" s="3" t="s">
        <v>33</v>
      </c>
      <c r="C24" s="3" t="s">
        <v>38</v>
      </c>
      <c r="D24" s="1">
        <v>2000</v>
      </c>
      <c r="E24" s="1">
        <v>2000</v>
      </c>
      <c r="F24" s="1">
        <v>2000</v>
      </c>
      <c r="G24" s="1">
        <v>2000</v>
      </c>
      <c r="H24" s="1">
        <v>2000</v>
      </c>
      <c r="I24" s="1">
        <v>2000</v>
      </c>
    </row>
    <row r="25" spans="1:11" x14ac:dyDescent="0.2">
      <c r="K25" s="1" t="s">
        <v>43</v>
      </c>
    </row>
    <row r="26" spans="1:11" x14ac:dyDescent="0.2">
      <c r="B26" s="3" t="s">
        <v>39</v>
      </c>
      <c r="C26" s="3" t="s">
        <v>37</v>
      </c>
      <c r="D26" s="1">
        <f>D12*D14</f>
        <v>100</v>
      </c>
      <c r="E26" s="1">
        <f>E12*E14</f>
        <v>100</v>
      </c>
      <c r="F26" s="1">
        <f>F12*F14</f>
        <v>100</v>
      </c>
      <c r="G26" s="1">
        <f>G12*G14</f>
        <v>100</v>
      </c>
      <c r="H26" s="1">
        <f>H12*H14</f>
        <v>100</v>
      </c>
      <c r="I26" s="1">
        <f>I12*I14</f>
        <v>100</v>
      </c>
      <c r="J26" s="1">
        <f>SUM(D26:I26)</f>
        <v>600</v>
      </c>
      <c r="K26" s="4">
        <f>J26/2000</f>
        <v>0.3</v>
      </c>
    </row>
    <row r="27" spans="1:11" x14ac:dyDescent="0.2">
      <c r="B27" s="3" t="s">
        <v>40</v>
      </c>
      <c r="C27" s="3" t="s">
        <v>37</v>
      </c>
      <c r="D27" s="1">
        <f>D13*D16</f>
        <v>300</v>
      </c>
      <c r="E27" s="1">
        <f>E13*E16</f>
        <v>300</v>
      </c>
      <c r="F27" s="1">
        <f>F13*F16</f>
        <v>300</v>
      </c>
      <c r="G27" s="1">
        <f>G13*G16</f>
        <v>300</v>
      </c>
      <c r="H27" s="1">
        <f>H13*H16</f>
        <v>300</v>
      </c>
      <c r="I27" s="1">
        <f>I13*I16</f>
        <v>300</v>
      </c>
      <c r="J27" s="1">
        <f>SUM(D27:I27)</f>
        <v>1800</v>
      </c>
      <c r="K27" s="4">
        <f>J27/2000</f>
        <v>0.9</v>
      </c>
    </row>
    <row r="28" spans="1:11" x14ac:dyDescent="0.2">
      <c r="B28" s="3" t="s">
        <v>41</v>
      </c>
      <c r="C28" s="3" t="s">
        <v>38</v>
      </c>
      <c r="D28" s="1">
        <f>D12*D15</f>
        <v>1500</v>
      </c>
      <c r="E28" s="1">
        <f>E12*E15</f>
        <v>1500</v>
      </c>
      <c r="F28" s="1">
        <f>F12*F15</f>
        <v>1500</v>
      </c>
      <c r="G28" s="1">
        <f>G12*G15</f>
        <v>1500</v>
      </c>
      <c r="H28" s="1">
        <f>H12*H15</f>
        <v>1500</v>
      </c>
      <c r="I28" s="1">
        <f>I12*I15</f>
        <v>1500</v>
      </c>
      <c r="J28" s="1">
        <f>SUM(D28:I28)</f>
        <v>9000</v>
      </c>
      <c r="K28" s="4">
        <f>7.64*1024/J28</f>
        <v>0.86926222222222216</v>
      </c>
    </row>
    <row r="29" spans="1:11" x14ac:dyDescent="0.2">
      <c r="B29" s="3" t="s">
        <v>42</v>
      </c>
      <c r="C29" s="3" t="s">
        <v>38</v>
      </c>
      <c r="D29" s="1">
        <f>D13*D17</f>
        <v>6000</v>
      </c>
      <c r="E29" s="1">
        <f>E13*E17</f>
        <v>6000</v>
      </c>
      <c r="F29" s="1">
        <f>F13*F17</f>
        <v>6000</v>
      </c>
      <c r="G29" s="1">
        <f>G13*G17</f>
        <v>6000</v>
      </c>
      <c r="H29" s="1">
        <f>H13*H17</f>
        <v>6000</v>
      </c>
      <c r="I29" s="1">
        <f>I13*I17</f>
        <v>6000</v>
      </c>
      <c r="J29" s="1">
        <f>SUM(D29:I29)</f>
        <v>36000</v>
      </c>
      <c r="K29" s="4">
        <f>7.64*1024/J29</f>
        <v>0.21731555555555554</v>
      </c>
    </row>
  </sheetData>
  <mergeCells count="5">
    <mergeCell ref="A14:A15"/>
    <mergeCell ref="A16:A17"/>
    <mergeCell ref="A18:A19"/>
    <mergeCell ref="A20:A24"/>
    <mergeCell ref="A2:A13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B14E-3BC0-1048-A480-7B8E46086EE1}">
  <dimension ref="A1:K209"/>
  <sheetViews>
    <sheetView tabSelected="1" topLeftCell="A41" workbookViewId="0">
      <selection activeCell="B60" sqref="B60:B209"/>
    </sheetView>
  </sheetViews>
  <sheetFormatPr baseColWidth="10" defaultRowHeight="16" x14ac:dyDescent="0.2"/>
  <cols>
    <col min="1" max="1" width="9" style="1" bestFit="1" customWidth="1"/>
    <col min="2" max="2" width="48.6640625" style="3" bestFit="1" customWidth="1"/>
    <col min="3" max="3" width="4.5" style="3" bestFit="1" customWidth="1"/>
    <col min="4" max="9" width="15.1640625" style="1" customWidth="1"/>
    <col min="10" max="10" width="11.5" style="1" bestFit="1" customWidth="1"/>
    <col min="11" max="16384" width="10.83203125" style="1"/>
  </cols>
  <sheetData>
    <row r="1" spans="1:9" x14ac:dyDescent="0.2">
      <c r="C1" s="3" t="s">
        <v>36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">
      <c r="B2" s="3" t="s">
        <v>44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</row>
    <row r="3" spans="1:9" x14ac:dyDescent="0.2">
      <c r="B3" s="3" t="s">
        <v>45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</row>
    <row r="4" spans="1:9" x14ac:dyDescent="0.2">
      <c r="A4" s="2" t="s">
        <v>16</v>
      </c>
      <c r="B4" s="3" t="s">
        <v>6</v>
      </c>
      <c r="D4" s="1">
        <v>80</v>
      </c>
      <c r="E4" s="1">
        <v>80</v>
      </c>
      <c r="F4" s="1">
        <v>80</v>
      </c>
      <c r="G4" s="1">
        <v>80</v>
      </c>
      <c r="H4" s="1">
        <v>80</v>
      </c>
      <c r="I4" s="1">
        <v>80</v>
      </c>
    </row>
    <row r="5" spans="1:9" x14ac:dyDescent="0.2">
      <c r="A5" s="2"/>
      <c r="B5" s="3" t="s">
        <v>7</v>
      </c>
      <c r="D5" s="1">
        <v>80</v>
      </c>
      <c r="E5" s="1">
        <v>80</v>
      </c>
      <c r="F5" s="1">
        <v>80</v>
      </c>
      <c r="G5" s="1">
        <v>80</v>
      </c>
      <c r="H5" s="1">
        <v>80</v>
      </c>
      <c r="I5" s="1">
        <v>80</v>
      </c>
    </row>
    <row r="6" spans="1:9" x14ac:dyDescent="0.2">
      <c r="A6" s="2"/>
      <c r="B6" s="3" t="s">
        <v>8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2"/>
      <c r="B7" s="3" t="s">
        <v>9</v>
      </c>
      <c r="D7" s="1">
        <v>100</v>
      </c>
      <c r="E7" s="1">
        <v>100</v>
      </c>
      <c r="F7" s="1">
        <v>100</v>
      </c>
      <c r="G7" s="1">
        <v>100</v>
      </c>
      <c r="H7" s="1">
        <v>100</v>
      </c>
      <c r="I7" s="1">
        <v>100</v>
      </c>
    </row>
    <row r="8" spans="1:9" x14ac:dyDescent="0.2">
      <c r="A8" s="2"/>
      <c r="B8" s="3" t="s">
        <v>10</v>
      </c>
      <c r="D8" s="1">
        <v>4</v>
      </c>
      <c r="E8" s="1">
        <v>4</v>
      </c>
      <c r="F8" s="1">
        <v>4</v>
      </c>
      <c r="G8" s="1">
        <v>4</v>
      </c>
      <c r="H8" s="1">
        <v>4</v>
      </c>
      <c r="I8" s="1">
        <v>4</v>
      </c>
    </row>
    <row r="9" spans="1:9" x14ac:dyDescent="0.2">
      <c r="A9" s="2"/>
      <c r="B9" s="3" t="s">
        <v>11</v>
      </c>
      <c r="D9" s="1">
        <v>60</v>
      </c>
      <c r="E9" s="1">
        <v>60</v>
      </c>
      <c r="F9" s="1">
        <v>60</v>
      </c>
      <c r="G9" s="1">
        <v>60</v>
      </c>
      <c r="H9" s="1">
        <v>60</v>
      </c>
      <c r="I9" s="1">
        <v>60</v>
      </c>
    </row>
    <row r="10" spans="1:9" x14ac:dyDescent="0.2">
      <c r="A10" s="2"/>
      <c r="B10" s="3" t="s">
        <v>12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</row>
    <row r="11" spans="1:9" x14ac:dyDescent="0.2">
      <c r="A11" s="2"/>
      <c r="B11" s="3" t="s">
        <v>13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</row>
    <row r="12" spans="1:9" x14ac:dyDescent="0.2">
      <c r="A12" s="2"/>
      <c r="B12" s="3" t="s">
        <v>14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</row>
    <row r="13" spans="1:9" x14ac:dyDescent="0.2">
      <c r="A13" s="2"/>
      <c r="B13" s="3" t="s">
        <v>15</v>
      </c>
      <c r="D13" s="1">
        <v>60</v>
      </c>
      <c r="E13" s="1">
        <v>60</v>
      </c>
      <c r="F13" s="1">
        <v>60</v>
      </c>
      <c r="G13" s="1">
        <v>60</v>
      </c>
      <c r="H13" s="1">
        <v>60</v>
      </c>
      <c r="I13" s="1">
        <v>60</v>
      </c>
    </row>
    <row r="14" spans="1:9" x14ac:dyDescent="0.2">
      <c r="A14" s="2"/>
      <c r="B14" s="3" t="s">
        <v>21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</row>
    <row r="15" spans="1:9" x14ac:dyDescent="0.2">
      <c r="A15" s="2"/>
      <c r="B15" s="3" t="s">
        <v>22</v>
      </c>
      <c r="D15" s="1">
        <v>10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</row>
    <row r="16" spans="1:9" x14ac:dyDescent="0.2">
      <c r="A16" s="2" t="s">
        <v>23</v>
      </c>
      <c r="B16" s="3" t="s">
        <v>17</v>
      </c>
      <c r="C16" s="3" t="s">
        <v>37</v>
      </c>
      <c r="D16" s="1">
        <v>500</v>
      </c>
      <c r="E16" s="1">
        <v>250</v>
      </c>
      <c r="F16" s="1">
        <v>500</v>
      </c>
      <c r="G16" s="1">
        <v>250</v>
      </c>
      <c r="H16" s="1">
        <v>300</v>
      </c>
      <c r="I16" s="1">
        <v>200</v>
      </c>
    </row>
    <row r="17" spans="1:11" x14ac:dyDescent="0.2">
      <c r="A17" s="2"/>
      <c r="B17" s="3" t="s">
        <v>18</v>
      </c>
      <c r="C17" s="3" t="s">
        <v>38</v>
      </c>
      <c r="D17" s="1">
        <v>2000</v>
      </c>
      <c r="E17" s="1">
        <v>1000</v>
      </c>
      <c r="F17" s="1">
        <v>1000</v>
      </c>
      <c r="G17" s="1">
        <v>1000</v>
      </c>
      <c r="H17" s="1">
        <v>500</v>
      </c>
      <c r="I17" s="1">
        <v>500</v>
      </c>
    </row>
    <row r="18" spans="1:11" x14ac:dyDescent="0.2">
      <c r="A18" s="2" t="s">
        <v>24</v>
      </c>
      <c r="B18" s="3" t="s">
        <v>19</v>
      </c>
      <c r="C18" s="3" t="s">
        <v>37</v>
      </c>
      <c r="D18" s="1">
        <v>1000</v>
      </c>
      <c r="E18" s="1">
        <v>500</v>
      </c>
      <c r="F18" s="1">
        <v>1000</v>
      </c>
      <c r="G18" s="1">
        <v>500</v>
      </c>
      <c r="H18" s="1">
        <v>1000</v>
      </c>
      <c r="I18" s="1">
        <v>400</v>
      </c>
    </row>
    <row r="19" spans="1:11" x14ac:dyDescent="0.2">
      <c r="A19" s="2"/>
      <c r="B19" s="3" t="s">
        <v>20</v>
      </c>
      <c r="C19" s="3" t="s">
        <v>38</v>
      </c>
      <c r="D19" s="1">
        <v>3000</v>
      </c>
      <c r="E19" s="1">
        <v>2000</v>
      </c>
      <c r="F19" s="1">
        <v>2000</v>
      </c>
      <c r="G19" s="1">
        <v>2000</v>
      </c>
      <c r="H19" s="1">
        <v>1000</v>
      </c>
      <c r="I19" s="1">
        <v>1000</v>
      </c>
    </row>
    <row r="20" spans="1:11" x14ac:dyDescent="0.2">
      <c r="A20" s="2" t="s">
        <v>34</v>
      </c>
      <c r="B20" s="3" t="s">
        <v>27</v>
      </c>
      <c r="D20" s="1" t="s">
        <v>25</v>
      </c>
      <c r="E20" s="1" t="s">
        <v>25</v>
      </c>
      <c r="F20" s="1" t="s">
        <v>25</v>
      </c>
      <c r="G20" s="1" t="s">
        <v>25</v>
      </c>
      <c r="H20" s="1" t="s">
        <v>25</v>
      </c>
      <c r="I20" s="1" t="s">
        <v>25</v>
      </c>
    </row>
    <row r="21" spans="1:11" x14ac:dyDescent="0.2">
      <c r="A21" s="2"/>
      <c r="B21" s="3" t="s">
        <v>28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</row>
    <row r="22" spans="1:11" x14ac:dyDescent="0.2">
      <c r="A22" s="2" t="s">
        <v>35</v>
      </c>
      <c r="B22" s="3" t="s">
        <v>29</v>
      </c>
      <c r="D22" s="1" t="s">
        <v>25</v>
      </c>
      <c r="E22" s="1" t="s">
        <v>25</v>
      </c>
      <c r="F22" s="1" t="s">
        <v>25</v>
      </c>
      <c r="G22" s="1" t="s">
        <v>25</v>
      </c>
      <c r="H22" s="1" t="s">
        <v>25</v>
      </c>
      <c r="I22" s="1" t="s">
        <v>25</v>
      </c>
    </row>
    <row r="23" spans="1:11" x14ac:dyDescent="0.2">
      <c r="A23" s="2"/>
      <c r="B23" s="3" t="s">
        <v>30</v>
      </c>
      <c r="C23" s="3" t="s">
        <v>37</v>
      </c>
      <c r="D23" s="1">
        <v>200</v>
      </c>
      <c r="E23" s="1">
        <v>200</v>
      </c>
      <c r="F23" s="1">
        <v>200</v>
      </c>
      <c r="G23" s="1">
        <v>200</v>
      </c>
      <c r="H23" s="1">
        <v>100</v>
      </c>
      <c r="I23" s="1">
        <v>100</v>
      </c>
    </row>
    <row r="24" spans="1:11" x14ac:dyDescent="0.2">
      <c r="A24" s="2"/>
      <c r="B24" s="3" t="s">
        <v>31</v>
      </c>
      <c r="C24" s="3" t="s">
        <v>37</v>
      </c>
      <c r="D24" s="1">
        <v>2000</v>
      </c>
      <c r="E24" s="1">
        <v>2000</v>
      </c>
      <c r="F24" s="1">
        <v>2000</v>
      </c>
      <c r="G24" s="1">
        <v>2000</v>
      </c>
      <c r="H24" s="1">
        <v>2000</v>
      </c>
      <c r="I24" s="1">
        <v>2000</v>
      </c>
    </row>
    <row r="25" spans="1:11" x14ac:dyDescent="0.2">
      <c r="A25" s="2"/>
      <c r="B25" s="3" t="s">
        <v>32</v>
      </c>
      <c r="C25" s="3" t="s">
        <v>38</v>
      </c>
      <c r="D25" s="1">
        <v>200</v>
      </c>
      <c r="E25" s="1">
        <v>200</v>
      </c>
      <c r="F25" s="1">
        <v>200</v>
      </c>
      <c r="G25" s="1">
        <v>200</v>
      </c>
      <c r="H25" s="1">
        <v>100</v>
      </c>
      <c r="I25" s="1">
        <v>100</v>
      </c>
    </row>
    <row r="26" spans="1:11" x14ac:dyDescent="0.2">
      <c r="A26" s="2"/>
      <c r="B26" s="3" t="s">
        <v>33</v>
      </c>
      <c r="C26" s="3" t="s">
        <v>38</v>
      </c>
      <c r="D26" s="1">
        <v>7000</v>
      </c>
      <c r="E26" s="1">
        <v>7000</v>
      </c>
      <c r="F26" s="1">
        <v>7000</v>
      </c>
      <c r="G26" s="1">
        <v>7000</v>
      </c>
      <c r="H26" s="1">
        <v>2000</v>
      </c>
      <c r="I26" s="1">
        <v>2000</v>
      </c>
    </row>
    <row r="27" spans="1:11" x14ac:dyDescent="0.2">
      <c r="K27" s="1" t="s">
        <v>43</v>
      </c>
    </row>
    <row r="28" spans="1:11" x14ac:dyDescent="0.2">
      <c r="B28" s="3" t="s">
        <v>39</v>
      </c>
      <c r="C28" s="3" t="s">
        <v>37</v>
      </c>
      <c r="D28" s="5">
        <f>D14*D16</f>
        <v>500</v>
      </c>
      <c r="E28" s="5">
        <f>E14*E16</f>
        <v>250</v>
      </c>
      <c r="F28" s="5">
        <f>F14*F16</f>
        <v>500</v>
      </c>
      <c r="G28" s="5">
        <f>G14*G16</f>
        <v>250</v>
      </c>
      <c r="H28" s="5">
        <f>H14*H16</f>
        <v>300</v>
      </c>
      <c r="I28" s="5">
        <f>I14*I16</f>
        <v>200</v>
      </c>
      <c r="J28" s="5">
        <f>SUM(D28:I28)</f>
        <v>2000</v>
      </c>
      <c r="K28" s="5">
        <f>J28/2000</f>
        <v>1</v>
      </c>
    </row>
    <row r="29" spans="1:11" x14ac:dyDescent="0.2">
      <c r="B29" s="3" t="s">
        <v>40</v>
      </c>
      <c r="C29" s="3" t="s">
        <v>37</v>
      </c>
      <c r="D29" s="5">
        <f>D15*D18</f>
        <v>10000</v>
      </c>
      <c r="E29" s="5">
        <f>E15*E18</f>
        <v>5000</v>
      </c>
      <c r="F29" s="5">
        <f>F15*F18</f>
        <v>10000</v>
      </c>
      <c r="G29" s="5">
        <f>G15*G18</f>
        <v>5000</v>
      </c>
      <c r="H29" s="5">
        <f>H15*H18</f>
        <v>10000</v>
      </c>
      <c r="I29" s="5">
        <f>I15*I18</f>
        <v>4000</v>
      </c>
      <c r="J29" s="5">
        <f>SUM(D29:I29)</f>
        <v>44000</v>
      </c>
      <c r="K29" s="5">
        <f>J29/2000</f>
        <v>22</v>
      </c>
    </row>
    <row r="30" spans="1:11" x14ac:dyDescent="0.2">
      <c r="B30" s="3" t="s">
        <v>41</v>
      </c>
      <c r="C30" s="3" t="s">
        <v>38</v>
      </c>
      <c r="D30" s="5">
        <f>D14*D17</f>
        <v>2000</v>
      </c>
      <c r="E30" s="5">
        <f>E14*E17</f>
        <v>1000</v>
      </c>
      <c r="F30" s="5">
        <f>F14*F17</f>
        <v>1000</v>
      </c>
      <c r="G30" s="5">
        <f>G14*G17</f>
        <v>1000</v>
      </c>
      <c r="H30" s="5">
        <f>H14*H17</f>
        <v>500</v>
      </c>
      <c r="I30" s="5">
        <f>I14*I17</f>
        <v>500</v>
      </c>
      <c r="J30" s="5">
        <f>SUM(D30:I30)</f>
        <v>6000</v>
      </c>
      <c r="K30" s="5">
        <f>J30/7.64/1024</f>
        <v>0.76693390052356025</v>
      </c>
    </row>
    <row r="31" spans="1:11" x14ac:dyDescent="0.2">
      <c r="B31" s="3" t="s">
        <v>42</v>
      </c>
      <c r="C31" s="3" t="s">
        <v>38</v>
      </c>
      <c r="D31" s="5">
        <f>D15*D19</f>
        <v>30000</v>
      </c>
      <c r="E31" s="5">
        <f>E15*E19</f>
        <v>20000</v>
      </c>
      <c r="F31" s="5">
        <f>F15*F19</f>
        <v>20000</v>
      </c>
      <c r="G31" s="5">
        <f>G15*G19</f>
        <v>20000</v>
      </c>
      <c r="H31" s="5">
        <f>H15*H19</f>
        <v>10000</v>
      </c>
      <c r="I31" s="5">
        <f>I15*I19</f>
        <v>10000</v>
      </c>
      <c r="J31" s="5">
        <f>SUM(D31:I31)</f>
        <v>110000</v>
      </c>
      <c r="K31" s="5">
        <f>J31/7.64/1024</f>
        <v>14.060454842931938</v>
      </c>
    </row>
    <row r="34" spans="4:9" x14ac:dyDescent="0.2">
      <c r="D34" s="1" t="str">
        <f t="shared" ref="D34:I34" si="0">"K8S_"&amp;D$1&amp;"_"&amp;$B2&amp;": "&amp;D2&amp;$C2</f>
        <v>K8S_LMS_HPA_CPU_ENABLE: True</v>
      </c>
      <c r="E34" s="1" t="str">
        <f t="shared" si="0"/>
        <v>K8S_LMS_WORKER_HPA_CPU_ENABLE: True</v>
      </c>
      <c r="F34" s="1" t="str">
        <f t="shared" si="0"/>
        <v>K8S_CMS_HPA_CPU_ENABLE: True</v>
      </c>
      <c r="G34" s="1" t="str">
        <f t="shared" si="0"/>
        <v>K8S_CMS_WORKER_HPA_CPU_ENABLE: True</v>
      </c>
      <c r="H34" s="1" t="str">
        <f t="shared" si="0"/>
        <v>K8S_CADDY_HPA_CPU_ENABLE: True</v>
      </c>
      <c r="I34" s="1" t="str">
        <f t="shared" si="0"/>
        <v>K8S_MFE_HPA_CPU_ENABLE: True</v>
      </c>
    </row>
    <row r="35" spans="4:9" x14ac:dyDescent="0.2">
      <c r="D35" s="1" t="str">
        <f t="shared" ref="D35:I35" si="1">"K8S_"&amp;D$1&amp;"_"&amp;$B3&amp;": "&amp;D3&amp;$C3</f>
        <v>K8S_LMS_HPA_MEMORY_ENABLE: True</v>
      </c>
      <c r="E35" s="1" t="str">
        <f t="shared" si="1"/>
        <v>K8S_LMS_WORKER_HPA_MEMORY_ENABLE: True</v>
      </c>
      <c r="F35" s="1" t="str">
        <f t="shared" si="1"/>
        <v>K8S_CMS_HPA_MEMORY_ENABLE: True</v>
      </c>
      <c r="G35" s="1" t="str">
        <f t="shared" si="1"/>
        <v>K8S_CMS_WORKER_HPA_MEMORY_ENABLE: True</v>
      </c>
      <c r="H35" s="1" t="str">
        <f t="shared" si="1"/>
        <v>K8S_CADDY_HPA_MEMORY_ENABLE: True</v>
      </c>
      <c r="I35" s="1" t="str">
        <f t="shared" si="1"/>
        <v>K8S_MFE_HPA_MEMORY_ENABLE: True</v>
      </c>
    </row>
    <row r="36" spans="4:9" x14ac:dyDescent="0.2">
      <c r="D36" s="1" t="str">
        <f>"K8S_"&amp;D$1&amp;"_"&amp;$B4&amp;": "&amp;D4&amp;$C4</f>
        <v>K8S_LMS_HPA_CPU_AVERAGE_UTILIZATION: 80</v>
      </c>
      <c r="E36" s="1" t="str">
        <f t="shared" ref="E36:I36" si="2">"K8S_"&amp;E$1&amp;"_"&amp;$B4&amp;": "&amp;E4&amp;$C4</f>
        <v>K8S_LMS_WORKER_HPA_CPU_AVERAGE_UTILIZATION: 80</v>
      </c>
      <c r="F36" s="1" t="str">
        <f t="shared" si="2"/>
        <v>K8S_CMS_HPA_CPU_AVERAGE_UTILIZATION: 80</v>
      </c>
      <c r="G36" s="1" t="str">
        <f t="shared" si="2"/>
        <v>K8S_CMS_WORKER_HPA_CPU_AVERAGE_UTILIZATION: 80</v>
      </c>
      <c r="H36" s="1" t="str">
        <f t="shared" si="2"/>
        <v>K8S_CADDY_HPA_CPU_AVERAGE_UTILIZATION: 80</v>
      </c>
      <c r="I36" s="1" t="str">
        <f t="shared" si="2"/>
        <v>K8S_MFE_HPA_CPU_AVERAGE_UTILIZATION: 80</v>
      </c>
    </row>
    <row r="37" spans="4:9" x14ac:dyDescent="0.2">
      <c r="D37" s="1" t="str">
        <f>"K8S_"&amp;D$1&amp;"_"&amp;$B5&amp;": "&amp;D5&amp;$C5</f>
        <v>K8S_LMS_HPA_MEMORY_AVERAGE_UTILIZATION: 80</v>
      </c>
      <c r="E37" s="1" t="str">
        <f>"K8S_"&amp;E$1&amp;"_"&amp;$B5&amp;": "&amp;E5&amp;$C5</f>
        <v>K8S_LMS_WORKER_HPA_MEMORY_AVERAGE_UTILIZATION: 80</v>
      </c>
      <c r="F37" s="1" t="str">
        <f>"K8S_"&amp;F$1&amp;"_"&amp;$B5&amp;": "&amp;F5&amp;$C5</f>
        <v>K8S_CMS_HPA_MEMORY_AVERAGE_UTILIZATION: 80</v>
      </c>
      <c r="G37" s="1" t="str">
        <f>"K8S_"&amp;G$1&amp;"_"&amp;$B5&amp;": "&amp;G5&amp;$C5</f>
        <v>K8S_CMS_WORKER_HPA_MEMORY_AVERAGE_UTILIZATION: 80</v>
      </c>
      <c r="H37" s="1" t="str">
        <f>"K8S_"&amp;H$1&amp;"_"&amp;$B5&amp;": "&amp;H5&amp;$C5</f>
        <v>K8S_CADDY_HPA_MEMORY_AVERAGE_UTILIZATION: 80</v>
      </c>
      <c r="I37" s="1" t="str">
        <f>"K8S_"&amp;I$1&amp;"_"&amp;$B5&amp;": "&amp;I5&amp;$C5</f>
        <v>K8S_MFE_HPA_MEMORY_AVERAGE_UTILIZATION: 80</v>
      </c>
    </row>
    <row r="38" spans="4:9" x14ac:dyDescent="0.2">
      <c r="D38" s="1" t="str">
        <f>"K8S_"&amp;D$1&amp;"_"&amp;$B6&amp;": "&amp;D6&amp;$C6</f>
        <v>K8S_LMS_HPA_SCALE_UP_STABILIZATION_WINDOW_SECONDS: 0</v>
      </c>
      <c r="E38" s="1" t="str">
        <f>"K8S_"&amp;E$1&amp;"_"&amp;$B6&amp;": "&amp;E6&amp;$C6</f>
        <v>K8S_LMS_WORKER_HPA_SCALE_UP_STABILIZATION_WINDOW_SECONDS: 0</v>
      </c>
      <c r="F38" s="1" t="str">
        <f>"K8S_"&amp;F$1&amp;"_"&amp;$B6&amp;": "&amp;F6&amp;$C6</f>
        <v>K8S_CMS_HPA_SCALE_UP_STABILIZATION_WINDOW_SECONDS: 0</v>
      </c>
      <c r="G38" s="1" t="str">
        <f>"K8S_"&amp;G$1&amp;"_"&amp;$B6&amp;": "&amp;G6&amp;$C6</f>
        <v>K8S_CMS_WORKER_HPA_SCALE_UP_STABILIZATION_WINDOW_SECONDS: 0</v>
      </c>
      <c r="H38" s="1" t="str">
        <f>"K8S_"&amp;H$1&amp;"_"&amp;$B6&amp;": "&amp;H6&amp;$C6</f>
        <v>K8S_CADDY_HPA_SCALE_UP_STABILIZATION_WINDOW_SECONDS: 0</v>
      </c>
      <c r="I38" s="1" t="str">
        <f>"K8S_"&amp;I$1&amp;"_"&amp;$B6&amp;": "&amp;I6&amp;$C6</f>
        <v>K8S_MFE_HPA_SCALE_UP_STABILIZATION_WINDOW_SECONDS: 0</v>
      </c>
    </row>
    <row r="39" spans="4:9" x14ac:dyDescent="0.2">
      <c r="D39" s="1" t="str">
        <f>"K8S_"&amp;D$1&amp;"_"&amp;$B7&amp;": "&amp;D7&amp;$C7</f>
        <v>K8S_LMS_HPA_SCALE_UP_PERCENT: 100</v>
      </c>
      <c r="E39" s="1" t="str">
        <f>"K8S_"&amp;E$1&amp;"_"&amp;$B7&amp;": "&amp;E7&amp;$C7</f>
        <v>K8S_LMS_WORKER_HPA_SCALE_UP_PERCENT: 100</v>
      </c>
      <c r="F39" s="1" t="str">
        <f>"K8S_"&amp;F$1&amp;"_"&amp;$B7&amp;": "&amp;F7&amp;$C7</f>
        <v>K8S_CMS_HPA_SCALE_UP_PERCENT: 100</v>
      </c>
      <c r="G39" s="1" t="str">
        <f>"K8S_"&amp;G$1&amp;"_"&amp;$B7&amp;": "&amp;G7&amp;$C7</f>
        <v>K8S_CMS_WORKER_HPA_SCALE_UP_PERCENT: 100</v>
      </c>
      <c r="H39" s="1" t="str">
        <f>"K8S_"&amp;H$1&amp;"_"&amp;$B7&amp;": "&amp;H7&amp;$C7</f>
        <v>K8S_CADDY_HPA_SCALE_UP_PERCENT: 100</v>
      </c>
      <c r="I39" s="1" t="str">
        <f>"K8S_"&amp;I$1&amp;"_"&amp;$B7&amp;": "&amp;I7&amp;$C7</f>
        <v>K8S_MFE_HPA_SCALE_UP_PERCENT: 100</v>
      </c>
    </row>
    <row r="40" spans="4:9" x14ac:dyDescent="0.2">
      <c r="D40" s="1" t="str">
        <f>"K8S_"&amp;D$1&amp;"_"&amp;$B8&amp;": "&amp;D8&amp;$C8</f>
        <v>K8S_LMS_HPA_SCALE_UP_PODS: 4</v>
      </c>
      <c r="E40" s="1" t="str">
        <f>"K8S_"&amp;E$1&amp;"_"&amp;$B8&amp;": "&amp;E8&amp;$C8</f>
        <v>K8S_LMS_WORKER_HPA_SCALE_UP_PODS: 4</v>
      </c>
      <c r="F40" s="1" t="str">
        <f>"K8S_"&amp;F$1&amp;"_"&amp;$B8&amp;": "&amp;F8&amp;$C8</f>
        <v>K8S_CMS_HPA_SCALE_UP_PODS: 4</v>
      </c>
      <c r="G40" s="1" t="str">
        <f>"K8S_"&amp;G$1&amp;"_"&amp;$B8&amp;": "&amp;G8&amp;$C8</f>
        <v>K8S_CMS_WORKER_HPA_SCALE_UP_PODS: 4</v>
      </c>
      <c r="H40" s="1" t="str">
        <f>"K8S_"&amp;H$1&amp;"_"&amp;$B8&amp;": "&amp;H8&amp;$C8</f>
        <v>K8S_CADDY_HPA_SCALE_UP_PODS: 4</v>
      </c>
      <c r="I40" s="1" t="str">
        <f>"K8S_"&amp;I$1&amp;"_"&amp;$B8&amp;": "&amp;I8&amp;$C8</f>
        <v>K8S_MFE_HPA_SCALE_UP_PODS: 4</v>
      </c>
    </row>
    <row r="41" spans="4:9" x14ac:dyDescent="0.2">
      <c r="D41" s="1" t="str">
        <f>"K8S_"&amp;D$1&amp;"_"&amp;$B9&amp;": "&amp;D9&amp;$C9</f>
        <v>K8S_LMS_HPA_SCALE_UP_PERIOD_SECONDS: 60</v>
      </c>
      <c r="E41" s="1" t="str">
        <f>"K8S_"&amp;E$1&amp;"_"&amp;$B9&amp;": "&amp;E9&amp;$C9</f>
        <v>K8S_LMS_WORKER_HPA_SCALE_UP_PERIOD_SECONDS: 60</v>
      </c>
      <c r="F41" s="1" t="str">
        <f>"K8S_"&amp;F$1&amp;"_"&amp;$B9&amp;": "&amp;F9&amp;$C9</f>
        <v>K8S_CMS_HPA_SCALE_UP_PERIOD_SECONDS: 60</v>
      </c>
      <c r="G41" s="1" t="str">
        <f>"K8S_"&amp;G$1&amp;"_"&amp;$B9&amp;": "&amp;G9&amp;$C9</f>
        <v>K8S_CMS_WORKER_HPA_SCALE_UP_PERIOD_SECONDS: 60</v>
      </c>
      <c r="H41" s="1" t="str">
        <f>"K8S_"&amp;H$1&amp;"_"&amp;$B9&amp;": "&amp;H9&amp;$C9</f>
        <v>K8S_CADDY_HPA_SCALE_UP_PERIOD_SECONDS: 60</v>
      </c>
      <c r="I41" s="1" t="str">
        <f>"K8S_"&amp;I$1&amp;"_"&amp;$B9&amp;": "&amp;I9&amp;$C9</f>
        <v>K8S_MFE_HPA_SCALE_UP_PERIOD_SECONDS: 60</v>
      </c>
    </row>
    <row r="42" spans="4:9" x14ac:dyDescent="0.2">
      <c r="D42" s="1" t="str">
        <f>"K8S_"&amp;D$1&amp;"_"&amp;$B10&amp;": "&amp;D10&amp;$C10</f>
        <v>K8S_LMS_HPA_SCALE_DOWN_STABILIZATION_WINDOW_SECONDS: 300</v>
      </c>
      <c r="E42" s="1" t="str">
        <f>"K8S_"&amp;E$1&amp;"_"&amp;$B10&amp;": "&amp;E10&amp;$C10</f>
        <v>K8S_LMS_WORKER_HPA_SCALE_DOWN_STABILIZATION_WINDOW_SECONDS: 300</v>
      </c>
      <c r="F42" s="1" t="str">
        <f>"K8S_"&amp;F$1&amp;"_"&amp;$B10&amp;": "&amp;F10&amp;$C10</f>
        <v>K8S_CMS_HPA_SCALE_DOWN_STABILIZATION_WINDOW_SECONDS: 300</v>
      </c>
      <c r="G42" s="1" t="str">
        <f>"K8S_"&amp;G$1&amp;"_"&amp;$B10&amp;": "&amp;G10&amp;$C10</f>
        <v>K8S_CMS_WORKER_HPA_SCALE_DOWN_STABILIZATION_WINDOW_SECONDS: 300</v>
      </c>
      <c r="H42" s="1" t="str">
        <f>"K8S_"&amp;H$1&amp;"_"&amp;$B10&amp;": "&amp;H10&amp;$C10</f>
        <v>K8S_CADDY_HPA_SCALE_DOWN_STABILIZATION_WINDOW_SECONDS: 300</v>
      </c>
      <c r="I42" s="1" t="str">
        <f>"K8S_"&amp;I$1&amp;"_"&amp;$B10&amp;": "&amp;I10&amp;$C10</f>
        <v>K8S_MFE_HPA_SCALE_DOWN_STABILIZATION_WINDOW_SECONDS: 300</v>
      </c>
    </row>
    <row r="43" spans="4:9" x14ac:dyDescent="0.2">
      <c r="D43" s="1" t="str">
        <f>"K8S_"&amp;D$1&amp;"_"&amp;$B11&amp;": "&amp;D11&amp;$C11</f>
        <v>K8S_LMS_HPA_SCALE_DOWN_PERCENT: 10</v>
      </c>
      <c r="E43" s="1" t="str">
        <f>"K8S_"&amp;E$1&amp;"_"&amp;$B11&amp;": "&amp;E11&amp;$C11</f>
        <v>K8S_LMS_WORKER_HPA_SCALE_DOWN_PERCENT: 10</v>
      </c>
      <c r="F43" s="1" t="str">
        <f>"K8S_"&amp;F$1&amp;"_"&amp;$B11&amp;": "&amp;F11&amp;$C11</f>
        <v>K8S_CMS_HPA_SCALE_DOWN_PERCENT: 10</v>
      </c>
      <c r="G43" s="1" t="str">
        <f>"K8S_"&amp;G$1&amp;"_"&amp;$B11&amp;": "&amp;G11&amp;$C11</f>
        <v>K8S_CMS_WORKER_HPA_SCALE_DOWN_PERCENT: 10</v>
      </c>
      <c r="H43" s="1" t="str">
        <f>"K8S_"&amp;H$1&amp;"_"&amp;$B11&amp;": "&amp;H11&amp;$C11</f>
        <v>K8S_CADDY_HPA_SCALE_DOWN_PERCENT: 10</v>
      </c>
      <c r="I43" s="1" t="str">
        <f>"K8S_"&amp;I$1&amp;"_"&amp;$B11&amp;": "&amp;I11&amp;$C11</f>
        <v>K8S_MFE_HPA_SCALE_DOWN_PERCENT: 10</v>
      </c>
    </row>
    <row r="44" spans="4:9" x14ac:dyDescent="0.2">
      <c r="D44" s="1" t="str">
        <f>"K8S_"&amp;D$1&amp;"_"&amp;$B12&amp;": "&amp;D12&amp;$C12</f>
        <v>K8S_LMS_HPA_SCALE_DOWN_PODS: 1</v>
      </c>
      <c r="E44" s="1" t="str">
        <f>"K8S_"&amp;E$1&amp;"_"&amp;$B12&amp;": "&amp;E12&amp;$C12</f>
        <v>K8S_LMS_WORKER_HPA_SCALE_DOWN_PODS: 1</v>
      </c>
      <c r="F44" s="1" t="str">
        <f>"K8S_"&amp;F$1&amp;"_"&amp;$B12&amp;": "&amp;F12&amp;$C12</f>
        <v>K8S_CMS_HPA_SCALE_DOWN_PODS: 1</v>
      </c>
      <c r="G44" s="1" t="str">
        <f>"K8S_"&amp;G$1&amp;"_"&amp;$B12&amp;": "&amp;G12&amp;$C12</f>
        <v>K8S_CMS_WORKER_HPA_SCALE_DOWN_PODS: 1</v>
      </c>
      <c r="H44" s="1" t="str">
        <f>"K8S_"&amp;H$1&amp;"_"&amp;$B12&amp;": "&amp;H12&amp;$C12</f>
        <v>K8S_CADDY_HPA_SCALE_DOWN_PODS: 1</v>
      </c>
      <c r="I44" s="1" t="str">
        <f>"K8S_"&amp;I$1&amp;"_"&amp;$B12&amp;": "&amp;I12&amp;$C12</f>
        <v>K8S_MFE_HPA_SCALE_DOWN_PODS: 1</v>
      </c>
    </row>
    <row r="45" spans="4:9" x14ac:dyDescent="0.2">
      <c r="D45" s="1" t="str">
        <f>"K8S_"&amp;D$1&amp;"_"&amp;$B13&amp;": "&amp;D13&amp;$C13</f>
        <v>K8S_LMS_HPA_SCALE_DOWN_PERIOD_SECONDS: 60</v>
      </c>
      <c r="E45" s="1" t="str">
        <f>"K8S_"&amp;E$1&amp;"_"&amp;$B13&amp;": "&amp;E13&amp;$C13</f>
        <v>K8S_LMS_WORKER_HPA_SCALE_DOWN_PERIOD_SECONDS: 60</v>
      </c>
      <c r="F45" s="1" t="str">
        <f>"K8S_"&amp;F$1&amp;"_"&amp;$B13&amp;": "&amp;F13&amp;$C13</f>
        <v>K8S_CMS_HPA_SCALE_DOWN_PERIOD_SECONDS: 60</v>
      </c>
      <c r="G45" s="1" t="str">
        <f>"K8S_"&amp;G$1&amp;"_"&amp;$B13&amp;": "&amp;G13&amp;$C13</f>
        <v>K8S_CMS_WORKER_HPA_SCALE_DOWN_PERIOD_SECONDS: 60</v>
      </c>
      <c r="H45" s="1" t="str">
        <f>"K8S_"&amp;H$1&amp;"_"&amp;$B13&amp;": "&amp;H13&amp;$C13</f>
        <v>K8S_CADDY_HPA_SCALE_DOWN_PERIOD_SECONDS: 60</v>
      </c>
      <c r="I45" s="1" t="str">
        <f>"K8S_"&amp;I$1&amp;"_"&amp;$B13&amp;": "&amp;I13&amp;$C13</f>
        <v>K8S_MFE_HPA_SCALE_DOWN_PERIOD_SECONDS: 60</v>
      </c>
    </row>
    <row r="46" spans="4:9" x14ac:dyDescent="0.2">
      <c r="D46" s="1" t="str">
        <f>"K8S_"&amp;D$1&amp;"_"&amp;$B14&amp;": "&amp;D14&amp;$C14</f>
        <v>K8S_LMS_REPLICAS: 1</v>
      </c>
      <c r="E46" s="1" t="str">
        <f>"K8S_"&amp;E$1&amp;"_"&amp;$B14&amp;": "&amp;E14&amp;$C14</f>
        <v>K8S_LMS_WORKER_REPLICAS: 1</v>
      </c>
      <c r="F46" s="1" t="str">
        <f>"K8S_"&amp;F$1&amp;"_"&amp;$B14&amp;": "&amp;F14&amp;$C14</f>
        <v>K8S_CMS_REPLICAS: 1</v>
      </c>
      <c r="G46" s="1" t="str">
        <f>"K8S_"&amp;G$1&amp;"_"&amp;$B14&amp;": "&amp;G14&amp;$C14</f>
        <v>K8S_CMS_WORKER_REPLICAS: 1</v>
      </c>
      <c r="H46" s="1" t="str">
        <f>"K8S_"&amp;H$1&amp;"_"&amp;$B14&amp;": "&amp;H14&amp;$C14</f>
        <v>K8S_CADDY_REPLICAS: 1</v>
      </c>
      <c r="I46" s="1" t="str">
        <f>"K8S_"&amp;I$1&amp;"_"&amp;$B14&amp;": "&amp;I14&amp;$C14</f>
        <v>K8S_MFE_REPLICAS: 1</v>
      </c>
    </row>
    <row r="47" spans="4:9" x14ac:dyDescent="0.2">
      <c r="D47" s="1" t="str">
        <f>"K8S_"&amp;D$1&amp;"_"&amp;$B15&amp;": "&amp;D15&amp;$C15</f>
        <v>K8S_LMS_MAX_REPLICAS: 10</v>
      </c>
      <c r="E47" s="1" t="str">
        <f>"K8S_"&amp;E$1&amp;"_"&amp;$B15&amp;": "&amp;E15&amp;$C15</f>
        <v>K8S_LMS_WORKER_MAX_REPLICAS: 10</v>
      </c>
      <c r="F47" s="1" t="str">
        <f>"K8S_"&amp;F$1&amp;"_"&amp;$B15&amp;": "&amp;F15&amp;$C15</f>
        <v>K8S_CMS_MAX_REPLICAS: 10</v>
      </c>
      <c r="G47" s="1" t="str">
        <f>"K8S_"&amp;G$1&amp;"_"&amp;$B15&amp;": "&amp;G15&amp;$C15</f>
        <v>K8S_CMS_WORKER_MAX_REPLICAS: 10</v>
      </c>
      <c r="H47" s="1" t="str">
        <f>"K8S_"&amp;H$1&amp;"_"&amp;$B15&amp;": "&amp;H15&amp;$C15</f>
        <v>K8S_CADDY_MAX_REPLICAS: 10</v>
      </c>
      <c r="I47" s="1" t="str">
        <f>"K8S_"&amp;I$1&amp;"_"&amp;$B15&amp;": "&amp;I15&amp;$C15</f>
        <v>K8S_MFE_MAX_REPLICAS: 10</v>
      </c>
    </row>
    <row r="48" spans="4:9" x14ac:dyDescent="0.2">
      <c r="D48" s="1" t="str">
        <f>"K8S_"&amp;D$1&amp;"_"&amp;$B16&amp;": "&amp;D16&amp;$C16</f>
        <v>K8S_LMS_CPU_REQUEST: 500m</v>
      </c>
      <c r="E48" s="1" t="str">
        <f>"K8S_"&amp;E$1&amp;"_"&amp;$B16&amp;": "&amp;E16&amp;$C16</f>
        <v>K8S_LMS_WORKER_CPU_REQUEST: 250m</v>
      </c>
      <c r="F48" s="1" t="str">
        <f>"K8S_"&amp;F$1&amp;"_"&amp;$B16&amp;": "&amp;F16&amp;$C16</f>
        <v>K8S_CMS_CPU_REQUEST: 500m</v>
      </c>
      <c r="G48" s="1" t="str">
        <f>"K8S_"&amp;G$1&amp;"_"&amp;$B16&amp;": "&amp;G16&amp;$C16</f>
        <v>K8S_CMS_WORKER_CPU_REQUEST: 250m</v>
      </c>
      <c r="H48" s="1" t="str">
        <f>"K8S_"&amp;H$1&amp;"_"&amp;$B16&amp;": "&amp;H16&amp;$C16</f>
        <v>K8S_CADDY_CPU_REQUEST: 300m</v>
      </c>
      <c r="I48" s="1" t="str">
        <f>"K8S_"&amp;I$1&amp;"_"&amp;$B16&amp;": "&amp;I16&amp;$C16</f>
        <v>K8S_MFE_CPU_REQUEST: 200m</v>
      </c>
    </row>
    <row r="49" spans="2:9" x14ac:dyDescent="0.2">
      <c r="D49" s="1" t="str">
        <f>"K8S_"&amp;D$1&amp;"_"&amp;$B17&amp;": "&amp;D17&amp;$C17</f>
        <v>K8S_LMS_MEMORY_REQUEST: 2000Mi</v>
      </c>
      <c r="E49" s="1" t="str">
        <f>"K8S_"&amp;E$1&amp;"_"&amp;$B17&amp;": "&amp;E17&amp;$C17</f>
        <v>K8S_LMS_WORKER_MEMORY_REQUEST: 1000Mi</v>
      </c>
      <c r="F49" s="1" t="str">
        <f>"K8S_"&amp;F$1&amp;"_"&amp;$B17&amp;": "&amp;F17&amp;$C17</f>
        <v>K8S_CMS_MEMORY_REQUEST: 1000Mi</v>
      </c>
      <c r="G49" s="1" t="str">
        <f>"K8S_"&amp;G$1&amp;"_"&amp;$B17&amp;": "&amp;G17&amp;$C17</f>
        <v>K8S_CMS_WORKER_MEMORY_REQUEST: 1000Mi</v>
      </c>
      <c r="H49" s="1" t="str">
        <f>"K8S_"&amp;H$1&amp;"_"&amp;$B17&amp;": "&amp;H17&amp;$C17</f>
        <v>K8S_CADDY_MEMORY_REQUEST: 500Mi</v>
      </c>
      <c r="I49" s="1" t="str">
        <f>"K8S_"&amp;I$1&amp;"_"&amp;$B17&amp;": "&amp;I17&amp;$C17</f>
        <v>K8S_MFE_MEMORY_REQUEST: 500Mi</v>
      </c>
    </row>
    <row r="50" spans="2:9" x14ac:dyDescent="0.2">
      <c r="D50" s="1" t="str">
        <f>"K8S_"&amp;D$1&amp;"_"&amp;$B18&amp;": "&amp;D18&amp;$C18</f>
        <v>K8S_LMS_CPU_LIMIT: 1000m</v>
      </c>
      <c r="E50" s="1" t="str">
        <f>"K8S_"&amp;E$1&amp;"_"&amp;$B18&amp;": "&amp;E18&amp;$C18</f>
        <v>K8S_LMS_WORKER_CPU_LIMIT: 500m</v>
      </c>
      <c r="F50" s="1" t="str">
        <f>"K8S_"&amp;F$1&amp;"_"&amp;$B18&amp;": "&amp;F18&amp;$C18</f>
        <v>K8S_CMS_CPU_LIMIT: 1000m</v>
      </c>
      <c r="G50" s="1" t="str">
        <f>"K8S_"&amp;G$1&amp;"_"&amp;$B18&amp;": "&amp;G18&amp;$C18</f>
        <v>K8S_CMS_WORKER_CPU_LIMIT: 500m</v>
      </c>
      <c r="H50" s="1" t="str">
        <f>"K8S_"&amp;H$1&amp;"_"&amp;$B18&amp;": "&amp;H18&amp;$C18</f>
        <v>K8S_CADDY_CPU_LIMIT: 1000m</v>
      </c>
      <c r="I50" s="1" t="str">
        <f>"K8S_"&amp;I$1&amp;"_"&amp;$B18&amp;": "&amp;I18&amp;$C18</f>
        <v>K8S_MFE_CPU_LIMIT: 400m</v>
      </c>
    </row>
    <row r="51" spans="2:9" x14ac:dyDescent="0.2">
      <c r="D51" s="1" t="str">
        <f>"K8S_"&amp;D$1&amp;"_"&amp;$B19&amp;": "&amp;D19&amp;$C19</f>
        <v>K8S_LMS_MEMORY_LIMIT: 3000Mi</v>
      </c>
      <c r="E51" s="1" t="str">
        <f>"K8S_"&amp;E$1&amp;"_"&amp;$B19&amp;": "&amp;E19&amp;$C19</f>
        <v>K8S_LMS_WORKER_MEMORY_LIMIT: 2000Mi</v>
      </c>
      <c r="F51" s="1" t="str">
        <f>"K8S_"&amp;F$1&amp;"_"&amp;$B19&amp;": "&amp;F19&amp;$C19</f>
        <v>K8S_CMS_MEMORY_LIMIT: 2000Mi</v>
      </c>
      <c r="G51" s="1" t="str">
        <f>"K8S_"&amp;G$1&amp;"_"&amp;$B19&amp;": "&amp;G19&amp;$C19</f>
        <v>K8S_CMS_WORKER_MEMORY_LIMIT: 2000Mi</v>
      </c>
      <c r="H51" s="1" t="str">
        <f>"K8S_"&amp;H$1&amp;"_"&amp;$B19&amp;": "&amp;H19&amp;$C19</f>
        <v>K8S_CADDY_MEMORY_LIMIT: 1000Mi</v>
      </c>
      <c r="I51" s="1" t="str">
        <f>"K8S_"&amp;I$1&amp;"_"&amp;$B19&amp;": "&amp;I19&amp;$C19</f>
        <v>K8S_MFE_MEMORY_LIMIT: 1000Mi</v>
      </c>
    </row>
    <row r="52" spans="2:9" x14ac:dyDescent="0.2">
      <c r="D52" s="1" t="str">
        <f>"K8S_"&amp;D$1&amp;"_"&amp;$B20&amp;": "&amp;D20&amp;$C20</f>
        <v>K8S_LMS_PDB_ENABLE: True</v>
      </c>
      <c r="E52" s="1" t="str">
        <f>"K8S_"&amp;E$1&amp;"_"&amp;$B20&amp;": "&amp;E20&amp;$C20</f>
        <v>K8S_LMS_WORKER_PDB_ENABLE: True</v>
      </c>
      <c r="F52" s="1" t="str">
        <f>"K8S_"&amp;F$1&amp;"_"&amp;$B20&amp;": "&amp;F20&amp;$C20</f>
        <v>K8S_CMS_PDB_ENABLE: True</v>
      </c>
      <c r="G52" s="1" t="str">
        <f>"K8S_"&amp;G$1&amp;"_"&amp;$B20&amp;": "&amp;G20&amp;$C20</f>
        <v>K8S_CMS_WORKER_PDB_ENABLE: True</v>
      </c>
      <c r="H52" s="1" t="str">
        <f>"K8S_"&amp;H$1&amp;"_"&amp;$B20&amp;": "&amp;H20&amp;$C20</f>
        <v>K8S_CADDY_PDB_ENABLE: True</v>
      </c>
      <c r="I52" s="1" t="str">
        <f>"K8S_"&amp;I$1&amp;"_"&amp;$B20&amp;": "&amp;I20&amp;$C20</f>
        <v>K8S_MFE_PDB_ENABLE: True</v>
      </c>
    </row>
    <row r="53" spans="2:9" x14ac:dyDescent="0.2">
      <c r="D53" s="1" t="str">
        <f>"K8S_"&amp;D$1&amp;"_"&amp;$B21&amp;": "&amp;D21&amp;$C21</f>
        <v>K8S_LMS_MIN_AVAILABLE_REPLICAS: 1</v>
      </c>
      <c r="E53" s="1" t="str">
        <f>"K8S_"&amp;E$1&amp;"_"&amp;$B21&amp;": "&amp;E21&amp;$C21</f>
        <v>K8S_LMS_WORKER_MIN_AVAILABLE_REPLICAS: 1</v>
      </c>
      <c r="F53" s="1" t="str">
        <f>"K8S_"&amp;F$1&amp;"_"&amp;$B21&amp;": "&amp;F21&amp;$C21</f>
        <v>K8S_CMS_MIN_AVAILABLE_REPLICAS: 1</v>
      </c>
      <c r="G53" s="1" t="str">
        <f>"K8S_"&amp;G$1&amp;"_"&amp;$B21&amp;": "&amp;G21&amp;$C21</f>
        <v>K8S_CMS_WORKER_MIN_AVAILABLE_REPLICAS: 1</v>
      </c>
      <c r="H53" s="1" t="str">
        <f>"K8S_"&amp;H$1&amp;"_"&amp;$B21&amp;": "&amp;H21&amp;$C21</f>
        <v>K8S_CADDY_MIN_AVAILABLE_REPLICAS: 1</v>
      </c>
      <c r="I53" s="1" t="str">
        <f>"K8S_"&amp;I$1&amp;"_"&amp;$B21&amp;": "&amp;I21&amp;$C21</f>
        <v>K8S_MFE_MIN_AVAILABLE_REPLICAS: 1</v>
      </c>
    </row>
    <row r="54" spans="2:9" x14ac:dyDescent="0.2">
      <c r="D54" s="1" t="str">
        <f>"K8S_"&amp;D$1&amp;"_"&amp;$B22&amp;": "&amp;D22&amp;$C22</f>
        <v>K8S_LMS_VPA_ENABLE: True</v>
      </c>
      <c r="E54" s="1" t="str">
        <f>"K8S_"&amp;E$1&amp;"_"&amp;$B22&amp;": "&amp;E22&amp;$C22</f>
        <v>K8S_LMS_WORKER_VPA_ENABLE: True</v>
      </c>
      <c r="F54" s="1" t="str">
        <f>"K8S_"&amp;F$1&amp;"_"&amp;$B22&amp;": "&amp;F22&amp;$C22</f>
        <v>K8S_CMS_VPA_ENABLE: True</v>
      </c>
      <c r="G54" s="1" t="str">
        <f>"K8S_"&amp;G$1&amp;"_"&amp;$B22&amp;": "&amp;G22&amp;$C22</f>
        <v>K8S_CMS_WORKER_VPA_ENABLE: True</v>
      </c>
      <c r="H54" s="1" t="str">
        <f>"K8S_"&amp;H$1&amp;"_"&amp;$B22&amp;": "&amp;H22&amp;$C22</f>
        <v>K8S_CADDY_VPA_ENABLE: True</v>
      </c>
      <c r="I54" s="1" t="str">
        <f>"K8S_"&amp;I$1&amp;"_"&amp;$B22&amp;": "&amp;I22&amp;$C22</f>
        <v>K8S_MFE_VPA_ENABLE: True</v>
      </c>
    </row>
    <row r="55" spans="2:9" x14ac:dyDescent="0.2">
      <c r="D55" s="1" t="str">
        <f>"K8S_"&amp;D$1&amp;"_"&amp;$B23&amp;": "&amp;D23&amp;$C23</f>
        <v>K8S_LMS_VPA_MIN_ALLOWED_CPU: 200m</v>
      </c>
      <c r="E55" s="1" t="str">
        <f>"K8S_"&amp;E$1&amp;"_"&amp;$B23&amp;": "&amp;E23&amp;$C23</f>
        <v>K8S_LMS_WORKER_VPA_MIN_ALLOWED_CPU: 200m</v>
      </c>
      <c r="F55" s="1" t="str">
        <f>"K8S_"&amp;F$1&amp;"_"&amp;$B23&amp;": "&amp;F23&amp;$C23</f>
        <v>K8S_CMS_VPA_MIN_ALLOWED_CPU: 200m</v>
      </c>
      <c r="G55" s="1" t="str">
        <f>"K8S_"&amp;G$1&amp;"_"&amp;$B23&amp;": "&amp;G23&amp;$C23</f>
        <v>K8S_CMS_WORKER_VPA_MIN_ALLOWED_CPU: 200m</v>
      </c>
      <c r="H55" s="1" t="str">
        <f>"K8S_"&amp;H$1&amp;"_"&amp;$B23&amp;": "&amp;H23&amp;$C23</f>
        <v>K8S_CADDY_VPA_MIN_ALLOWED_CPU: 100m</v>
      </c>
      <c r="I55" s="1" t="str">
        <f>"K8S_"&amp;I$1&amp;"_"&amp;$B23&amp;": "&amp;I23&amp;$C23</f>
        <v>K8S_MFE_VPA_MIN_ALLOWED_CPU: 100m</v>
      </c>
    </row>
    <row r="56" spans="2:9" x14ac:dyDescent="0.2">
      <c r="D56" s="1" t="str">
        <f>"K8S_"&amp;D$1&amp;"_"&amp;$B24&amp;": "&amp;D24&amp;$C24</f>
        <v>K8S_LMS_VPA_MAX_ALLOWED_CPU: 2000m</v>
      </c>
      <c r="E56" s="1" t="str">
        <f>"K8S_"&amp;E$1&amp;"_"&amp;$B24&amp;": "&amp;E24&amp;$C24</f>
        <v>K8S_LMS_WORKER_VPA_MAX_ALLOWED_CPU: 2000m</v>
      </c>
      <c r="F56" s="1" t="str">
        <f>"K8S_"&amp;F$1&amp;"_"&amp;$B24&amp;": "&amp;F24&amp;$C24</f>
        <v>K8S_CMS_VPA_MAX_ALLOWED_CPU: 2000m</v>
      </c>
      <c r="G56" s="1" t="str">
        <f>"K8S_"&amp;G$1&amp;"_"&amp;$B24&amp;": "&amp;G24&amp;$C24</f>
        <v>K8S_CMS_WORKER_VPA_MAX_ALLOWED_CPU: 2000m</v>
      </c>
      <c r="H56" s="1" t="str">
        <f>"K8S_"&amp;H$1&amp;"_"&amp;$B24&amp;": "&amp;H24&amp;$C24</f>
        <v>K8S_CADDY_VPA_MAX_ALLOWED_CPU: 2000m</v>
      </c>
      <c r="I56" s="1" t="str">
        <f>"K8S_"&amp;I$1&amp;"_"&amp;$B24&amp;": "&amp;I24&amp;$C24</f>
        <v>K8S_MFE_VPA_MAX_ALLOWED_CPU: 2000m</v>
      </c>
    </row>
    <row r="57" spans="2:9" x14ac:dyDescent="0.2">
      <c r="D57" s="1" t="str">
        <f>"K8S_"&amp;D$1&amp;"_"&amp;$B25&amp;": "&amp;D25&amp;$C25</f>
        <v>K8S_LMS_VPA_MIN_ALLOWED_MEMORY: 200Mi</v>
      </c>
      <c r="E57" s="1" t="str">
        <f>"K8S_"&amp;E$1&amp;"_"&amp;$B25&amp;": "&amp;E25&amp;$C25</f>
        <v>K8S_LMS_WORKER_VPA_MIN_ALLOWED_MEMORY: 200Mi</v>
      </c>
      <c r="F57" s="1" t="str">
        <f>"K8S_"&amp;F$1&amp;"_"&amp;$B25&amp;": "&amp;F25&amp;$C25</f>
        <v>K8S_CMS_VPA_MIN_ALLOWED_MEMORY: 200Mi</v>
      </c>
      <c r="G57" s="1" t="str">
        <f>"K8S_"&amp;G$1&amp;"_"&amp;$B25&amp;": "&amp;G25&amp;$C25</f>
        <v>K8S_CMS_WORKER_VPA_MIN_ALLOWED_MEMORY: 200Mi</v>
      </c>
      <c r="H57" s="1" t="str">
        <f>"K8S_"&amp;H$1&amp;"_"&amp;$B25&amp;": "&amp;H25&amp;$C25</f>
        <v>K8S_CADDY_VPA_MIN_ALLOWED_MEMORY: 100Mi</v>
      </c>
      <c r="I57" s="1" t="str">
        <f>"K8S_"&amp;I$1&amp;"_"&amp;$B25&amp;": "&amp;I25&amp;$C25</f>
        <v>K8S_MFE_VPA_MIN_ALLOWED_MEMORY: 100Mi</v>
      </c>
    </row>
    <row r="58" spans="2:9" x14ac:dyDescent="0.2">
      <c r="D58" s="1" t="str">
        <f>"K8S_"&amp;D$1&amp;"_"&amp;$B26&amp;": "&amp;D26&amp;$C26</f>
        <v>K8S_LMS_VPA_MAX_ALLOWED_MEMORY: 7000Mi</v>
      </c>
      <c r="E58" s="1" t="str">
        <f>"K8S_"&amp;E$1&amp;"_"&amp;$B26&amp;": "&amp;E26&amp;$C26</f>
        <v>K8S_LMS_WORKER_VPA_MAX_ALLOWED_MEMORY: 7000Mi</v>
      </c>
      <c r="F58" s="1" t="str">
        <f>"K8S_"&amp;F$1&amp;"_"&amp;$B26&amp;": "&amp;F26&amp;$C26</f>
        <v>K8S_CMS_VPA_MAX_ALLOWED_MEMORY: 7000Mi</v>
      </c>
      <c r="G58" s="1" t="str">
        <f>"K8S_"&amp;G$1&amp;"_"&amp;$B26&amp;": "&amp;G26&amp;$C26</f>
        <v>K8S_CMS_WORKER_VPA_MAX_ALLOWED_MEMORY: 7000Mi</v>
      </c>
      <c r="H58" s="1" t="str">
        <f>"K8S_"&amp;H$1&amp;"_"&amp;$B26&amp;": "&amp;H26&amp;$C26</f>
        <v>K8S_CADDY_VPA_MAX_ALLOWED_MEMORY: 2000Mi</v>
      </c>
      <c r="I58" s="1" t="str">
        <f>"K8S_"&amp;I$1&amp;"_"&amp;$B26&amp;": "&amp;I26&amp;$C26</f>
        <v>K8S_MFE_VPA_MAX_ALLOWED_MEMORY: 2000Mi</v>
      </c>
    </row>
    <row r="60" spans="2:9" x14ac:dyDescent="0.2">
      <c r="B60" s="3" t="str">
        <f t="shared" ref="B60:B61" si="3">D34</f>
        <v>K8S_LMS_HPA_CPU_ENABLE: True</v>
      </c>
    </row>
    <row r="61" spans="2:9" x14ac:dyDescent="0.2">
      <c r="B61" s="3" t="str">
        <f t="shared" si="3"/>
        <v>K8S_LMS_HPA_MEMORY_ENABLE: True</v>
      </c>
    </row>
    <row r="62" spans="2:9" x14ac:dyDescent="0.2">
      <c r="B62" s="3" t="str">
        <f>D36</f>
        <v>K8S_LMS_HPA_CPU_AVERAGE_UTILIZATION: 80</v>
      </c>
    </row>
    <row r="63" spans="2:9" x14ac:dyDescent="0.2">
      <c r="B63" s="3" t="str">
        <f>D37</f>
        <v>K8S_LMS_HPA_MEMORY_AVERAGE_UTILIZATION: 80</v>
      </c>
    </row>
    <row r="64" spans="2:9" x14ac:dyDescent="0.2">
      <c r="B64" s="3" t="str">
        <f>D38</f>
        <v>K8S_LMS_HPA_SCALE_UP_STABILIZATION_WINDOW_SECONDS: 0</v>
      </c>
    </row>
    <row r="65" spans="2:2" x14ac:dyDescent="0.2">
      <c r="B65" s="3" t="str">
        <f>D39</f>
        <v>K8S_LMS_HPA_SCALE_UP_PERCENT: 100</v>
      </c>
    </row>
    <row r="66" spans="2:2" x14ac:dyDescent="0.2">
      <c r="B66" s="3" t="str">
        <f>D40</f>
        <v>K8S_LMS_HPA_SCALE_UP_PODS: 4</v>
      </c>
    </row>
    <row r="67" spans="2:2" x14ac:dyDescent="0.2">
      <c r="B67" s="3" t="str">
        <f>D41</f>
        <v>K8S_LMS_HPA_SCALE_UP_PERIOD_SECONDS: 60</v>
      </c>
    </row>
    <row r="68" spans="2:2" x14ac:dyDescent="0.2">
      <c r="B68" s="3" t="str">
        <f>D42</f>
        <v>K8S_LMS_HPA_SCALE_DOWN_STABILIZATION_WINDOW_SECONDS: 300</v>
      </c>
    </row>
    <row r="69" spans="2:2" x14ac:dyDescent="0.2">
      <c r="B69" s="3" t="str">
        <f>D43</f>
        <v>K8S_LMS_HPA_SCALE_DOWN_PERCENT: 10</v>
      </c>
    </row>
    <row r="70" spans="2:2" x14ac:dyDescent="0.2">
      <c r="B70" s="3" t="str">
        <f>D44</f>
        <v>K8S_LMS_HPA_SCALE_DOWN_PODS: 1</v>
      </c>
    </row>
    <row r="71" spans="2:2" x14ac:dyDescent="0.2">
      <c r="B71" s="3" t="str">
        <f>D45</f>
        <v>K8S_LMS_HPA_SCALE_DOWN_PERIOD_SECONDS: 60</v>
      </c>
    </row>
    <row r="72" spans="2:2" x14ac:dyDescent="0.2">
      <c r="B72" s="3" t="str">
        <f>D46</f>
        <v>K8S_LMS_REPLICAS: 1</v>
      </c>
    </row>
    <row r="73" spans="2:2" x14ac:dyDescent="0.2">
      <c r="B73" s="3" t="str">
        <f>D47</f>
        <v>K8S_LMS_MAX_REPLICAS: 10</v>
      </c>
    </row>
    <row r="74" spans="2:2" x14ac:dyDescent="0.2">
      <c r="B74" s="3" t="str">
        <f>D48</f>
        <v>K8S_LMS_CPU_REQUEST: 500m</v>
      </c>
    </row>
    <row r="75" spans="2:2" x14ac:dyDescent="0.2">
      <c r="B75" s="3" t="str">
        <f>D49</f>
        <v>K8S_LMS_MEMORY_REQUEST: 2000Mi</v>
      </c>
    </row>
    <row r="76" spans="2:2" x14ac:dyDescent="0.2">
      <c r="B76" s="3" t="str">
        <f>D50</f>
        <v>K8S_LMS_CPU_LIMIT: 1000m</v>
      </c>
    </row>
    <row r="77" spans="2:2" x14ac:dyDescent="0.2">
      <c r="B77" s="3" t="str">
        <f>D51</f>
        <v>K8S_LMS_MEMORY_LIMIT: 3000Mi</v>
      </c>
    </row>
    <row r="78" spans="2:2" x14ac:dyDescent="0.2">
      <c r="B78" s="3" t="str">
        <f>D52</f>
        <v>K8S_LMS_PDB_ENABLE: True</v>
      </c>
    </row>
    <row r="79" spans="2:2" x14ac:dyDescent="0.2">
      <c r="B79" s="3" t="str">
        <f>D53</f>
        <v>K8S_LMS_MIN_AVAILABLE_REPLICAS: 1</v>
      </c>
    </row>
    <row r="80" spans="2:2" x14ac:dyDescent="0.2">
      <c r="B80" s="3" t="str">
        <f>D54</f>
        <v>K8S_LMS_VPA_ENABLE: True</v>
      </c>
    </row>
    <row r="81" spans="2:2" x14ac:dyDescent="0.2">
      <c r="B81" s="3" t="str">
        <f>D55</f>
        <v>K8S_LMS_VPA_MIN_ALLOWED_CPU: 200m</v>
      </c>
    </row>
    <row r="82" spans="2:2" x14ac:dyDescent="0.2">
      <c r="B82" s="3" t="str">
        <f>D56</f>
        <v>K8S_LMS_VPA_MAX_ALLOWED_CPU: 2000m</v>
      </c>
    </row>
    <row r="83" spans="2:2" x14ac:dyDescent="0.2">
      <c r="B83" s="3" t="str">
        <f>D57</f>
        <v>K8S_LMS_VPA_MIN_ALLOWED_MEMORY: 200Mi</v>
      </c>
    </row>
    <row r="84" spans="2:2" x14ac:dyDescent="0.2">
      <c r="B84" s="3" t="str">
        <f>D58</f>
        <v>K8S_LMS_VPA_MAX_ALLOWED_MEMORY: 7000Mi</v>
      </c>
    </row>
    <row r="85" spans="2:2" x14ac:dyDescent="0.2">
      <c r="B85" s="3" t="str">
        <f t="shared" ref="B85:B86" si="4">E34</f>
        <v>K8S_LMS_WORKER_HPA_CPU_ENABLE: True</v>
      </c>
    </row>
    <row r="86" spans="2:2" x14ac:dyDescent="0.2">
      <c r="B86" s="3" t="str">
        <f t="shared" si="4"/>
        <v>K8S_LMS_WORKER_HPA_MEMORY_ENABLE: True</v>
      </c>
    </row>
    <row r="87" spans="2:2" x14ac:dyDescent="0.2">
      <c r="B87" s="3" t="str">
        <f>E36</f>
        <v>K8S_LMS_WORKER_HPA_CPU_AVERAGE_UTILIZATION: 80</v>
      </c>
    </row>
    <row r="88" spans="2:2" x14ac:dyDescent="0.2">
      <c r="B88" s="3" t="str">
        <f>E37</f>
        <v>K8S_LMS_WORKER_HPA_MEMORY_AVERAGE_UTILIZATION: 80</v>
      </c>
    </row>
    <row r="89" spans="2:2" x14ac:dyDescent="0.2">
      <c r="B89" s="3" t="str">
        <f>E38</f>
        <v>K8S_LMS_WORKER_HPA_SCALE_UP_STABILIZATION_WINDOW_SECONDS: 0</v>
      </c>
    </row>
    <row r="90" spans="2:2" x14ac:dyDescent="0.2">
      <c r="B90" s="3" t="str">
        <f>E39</f>
        <v>K8S_LMS_WORKER_HPA_SCALE_UP_PERCENT: 100</v>
      </c>
    </row>
    <row r="91" spans="2:2" x14ac:dyDescent="0.2">
      <c r="B91" s="3" t="str">
        <f>E40</f>
        <v>K8S_LMS_WORKER_HPA_SCALE_UP_PODS: 4</v>
      </c>
    </row>
    <row r="92" spans="2:2" x14ac:dyDescent="0.2">
      <c r="B92" s="3" t="str">
        <f>E41</f>
        <v>K8S_LMS_WORKER_HPA_SCALE_UP_PERIOD_SECONDS: 60</v>
      </c>
    </row>
    <row r="93" spans="2:2" x14ac:dyDescent="0.2">
      <c r="B93" s="3" t="str">
        <f>E42</f>
        <v>K8S_LMS_WORKER_HPA_SCALE_DOWN_STABILIZATION_WINDOW_SECONDS: 300</v>
      </c>
    </row>
    <row r="94" spans="2:2" x14ac:dyDescent="0.2">
      <c r="B94" s="3" t="str">
        <f>E43</f>
        <v>K8S_LMS_WORKER_HPA_SCALE_DOWN_PERCENT: 10</v>
      </c>
    </row>
    <row r="95" spans="2:2" x14ac:dyDescent="0.2">
      <c r="B95" s="3" t="str">
        <f>E44</f>
        <v>K8S_LMS_WORKER_HPA_SCALE_DOWN_PODS: 1</v>
      </c>
    </row>
    <row r="96" spans="2:2" x14ac:dyDescent="0.2">
      <c r="B96" s="3" t="str">
        <f>E45</f>
        <v>K8S_LMS_WORKER_HPA_SCALE_DOWN_PERIOD_SECONDS: 60</v>
      </c>
    </row>
    <row r="97" spans="2:2" x14ac:dyDescent="0.2">
      <c r="B97" s="3" t="str">
        <f>E46</f>
        <v>K8S_LMS_WORKER_REPLICAS: 1</v>
      </c>
    </row>
    <row r="98" spans="2:2" x14ac:dyDescent="0.2">
      <c r="B98" s="3" t="str">
        <f>E47</f>
        <v>K8S_LMS_WORKER_MAX_REPLICAS: 10</v>
      </c>
    </row>
    <row r="99" spans="2:2" x14ac:dyDescent="0.2">
      <c r="B99" s="3" t="str">
        <f>E48</f>
        <v>K8S_LMS_WORKER_CPU_REQUEST: 250m</v>
      </c>
    </row>
    <row r="100" spans="2:2" x14ac:dyDescent="0.2">
      <c r="B100" s="3" t="str">
        <f>E49</f>
        <v>K8S_LMS_WORKER_MEMORY_REQUEST: 1000Mi</v>
      </c>
    </row>
    <row r="101" spans="2:2" x14ac:dyDescent="0.2">
      <c r="B101" s="3" t="str">
        <f>E50</f>
        <v>K8S_LMS_WORKER_CPU_LIMIT: 500m</v>
      </c>
    </row>
    <row r="102" spans="2:2" x14ac:dyDescent="0.2">
      <c r="B102" s="3" t="str">
        <f>E51</f>
        <v>K8S_LMS_WORKER_MEMORY_LIMIT: 2000Mi</v>
      </c>
    </row>
    <row r="103" spans="2:2" x14ac:dyDescent="0.2">
      <c r="B103" s="3" t="str">
        <f>E52</f>
        <v>K8S_LMS_WORKER_PDB_ENABLE: True</v>
      </c>
    </row>
    <row r="104" spans="2:2" x14ac:dyDescent="0.2">
      <c r="B104" s="3" t="str">
        <f>E53</f>
        <v>K8S_LMS_WORKER_MIN_AVAILABLE_REPLICAS: 1</v>
      </c>
    </row>
    <row r="105" spans="2:2" x14ac:dyDescent="0.2">
      <c r="B105" s="3" t="str">
        <f>E54</f>
        <v>K8S_LMS_WORKER_VPA_ENABLE: True</v>
      </c>
    </row>
    <row r="106" spans="2:2" x14ac:dyDescent="0.2">
      <c r="B106" s="3" t="str">
        <f>E55</f>
        <v>K8S_LMS_WORKER_VPA_MIN_ALLOWED_CPU: 200m</v>
      </c>
    </row>
    <row r="107" spans="2:2" x14ac:dyDescent="0.2">
      <c r="B107" s="3" t="str">
        <f>E56</f>
        <v>K8S_LMS_WORKER_VPA_MAX_ALLOWED_CPU: 2000m</v>
      </c>
    </row>
    <row r="108" spans="2:2" x14ac:dyDescent="0.2">
      <c r="B108" s="3" t="str">
        <f>E57</f>
        <v>K8S_LMS_WORKER_VPA_MIN_ALLOWED_MEMORY: 200Mi</v>
      </c>
    </row>
    <row r="109" spans="2:2" x14ac:dyDescent="0.2">
      <c r="B109" s="3" t="str">
        <f>E58</f>
        <v>K8S_LMS_WORKER_VPA_MAX_ALLOWED_MEMORY: 7000Mi</v>
      </c>
    </row>
    <row r="110" spans="2:2" x14ac:dyDescent="0.2">
      <c r="B110" s="3" t="str">
        <f t="shared" ref="B110:B111" si="5">F34</f>
        <v>K8S_CMS_HPA_CPU_ENABLE: True</v>
      </c>
    </row>
    <row r="111" spans="2:2" x14ac:dyDescent="0.2">
      <c r="B111" s="3" t="str">
        <f t="shared" si="5"/>
        <v>K8S_CMS_HPA_MEMORY_ENABLE: True</v>
      </c>
    </row>
    <row r="112" spans="2:2" x14ac:dyDescent="0.2">
      <c r="B112" s="3" t="str">
        <f>F36</f>
        <v>K8S_CMS_HPA_CPU_AVERAGE_UTILIZATION: 80</v>
      </c>
    </row>
    <row r="113" spans="2:2" x14ac:dyDescent="0.2">
      <c r="B113" s="3" t="str">
        <f>F37</f>
        <v>K8S_CMS_HPA_MEMORY_AVERAGE_UTILIZATION: 80</v>
      </c>
    </row>
    <row r="114" spans="2:2" x14ac:dyDescent="0.2">
      <c r="B114" s="3" t="str">
        <f>F38</f>
        <v>K8S_CMS_HPA_SCALE_UP_STABILIZATION_WINDOW_SECONDS: 0</v>
      </c>
    </row>
    <row r="115" spans="2:2" x14ac:dyDescent="0.2">
      <c r="B115" s="3" t="str">
        <f>F39</f>
        <v>K8S_CMS_HPA_SCALE_UP_PERCENT: 100</v>
      </c>
    </row>
    <row r="116" spans="2:2" x14ac:dyDescent="0.2">
      <c r="B116" s="3" t="str">
        <f>F40</f>
        <v>K8S_CMS_HPA_SCALE_UP_PODS: 4</v>
      </c>
    </row>
    <row r="117" spans="2:2" x14ac:dyDescent="0.2">
      <c r="B117" s="3" t="str">
        <f>F41</f>
        <v>K8S_CMS_HPA_SCALE_UP_PERIOD_SECONDS: 60</v>
      </c>
    </row>
    <row r="118" spans="2:2" x14ac:dyDescent="0.2">
      <c r="B118" s="3" t="str">
        <f>F42</f>
        <v>K8S_CMS_HPA_SCALE_DOWN_STABILIZATION_WINDOW_SECONDS: 300</v>
      </c>
    </row>
    <row r="119" spans="2:2" x14ac:dyDescent="0.2">
      <c r="B119" s="3" t="str">
        <f>F43</f>
        <v>K8S_CMS_HPA_SCALE_DOWN_PERCENT: 10</v>
      </c>
    </row>
    <row r="120" spans="2:2" x14ac:dyDescent="0.2">
      <c r="B120" s="3" t="str">
        <f>F44</f>
        <v>K8S_CMS_HPA_SCALE_DOWN_PODS: 1</v>
      </c>
    </row>
    <row r="121" spans="2:2" x14ac:dyDescent="0.2">
      <c r="B121" s="3" t="str">
        <f>F45</f>
        <v>K8S_CMS_HPA_SCALE_DOWN_PERIOD_SECONDS: 60</v>
      </c>
    </row>
    <row r="122" spans="2:2" x14ac:dyDescent="0.2">
      <c r="B122" s="3" t="str">
        <f>F46</f>
        <v>K8S_CMS_REPLICAS: 1</v>
      </c>
    </row>
    <row r="123" spans="2:2" x14ac:dyDescent="0.2">
      <c r="B123" s="3" t="str">
        <f>F47</f>
        <v>K8S_CMS_MAX_REPLICAS: 10</v>
      </c>
    </row>
    <row r="124" spans="2:2" x14ac:dyDescent="0.2">
      <c r="B124" s="3" t="str">
        <f>F48</f>
        <v>K8S_CMS_CPU_REQUEST: 500m</v>
      </c>
    </row>
    <row r="125" spans="2:2" x14ac:dyDescent="0.2">
      <c r="B125" s="3" t="str">
        <f>F49</f>
        <v>K8S_CMS_MEMORY_REQUEST: 1000Mi</v>
      </c>
    </row>
    <row r="126" spans="2:2" x14ac:dyDescent="0.2">
      <c r="B126" s="3" t="str">
        <f>F50</f>
        <v>K8S_CMS_CPU_LIMIT: 1000m</v>
      </c>
    </row>
    <row r="127" spans="2:2" x14ac:dyDescent="0.2">
      <c r="B127" s="3" t="str">
        <f>F51</f>
        <v>K8S_CMS_MEMORY_LIMIT: 2000Mi</v>
      </c>
    </row>
    <row r="128" spans="2:2" x14ac:dyDescent="0.2">
      <c r="B128" s="3" t="str">
        <f>F52</f>
        <v>K8S_CMS_PDB_ENABLE: True</v>
      </c>
    </row>
    <row r="129" spans="2:2" x14ac:dyDescent="0.2">
      <c r="B129" s="3" t="str">
        <f>F53</f>
        <v>K8S_CMS_MIN_AVAILABLE_REPLICAS: 1</v>
      </c>
    </row>
    <row r="130" spans="2:2" x14ac:dyDescent="0.2">
      <c r="B130" s="3" t="str">
        <f>F54</f>
        <v>K8S_CMS_VPA_ENABLE: True</v>
      </c>
    </row>
    <row r="131" spans="2:2" x14ac:dyDescent="0.2">
      <c r="B131" s="3" t="str">
        <f>F55</f>
        <v>K8S_CMS_VPA_MIN_ALLOWED_CPU: 200m</v>
      </c>
    </row>
    <row r="132" spans="2:2" x14ac:dyDescent="0.2">
      <c r="B132" s="3" t="str">
        <f>F56</f>
        <v>K8S_CMS_VPA_MAX_ALLOWED_CPU: 2000m</v>
      </c>
    </row>
    <row r="133" spans="2:2" x14ac:dyDescent="0.2">
      <c r="B133" s="3" t="str">
        <f>F57</f>
        <v>K8S_CMS_VPA_MIN_ALLOWED_MEMORY: 200Mi</v>
      </c>
    </row>
    <row r="134" spans="2:2" x14ac:dyDescent="0.2">
      <c r="B134" s="3" t="str">
        <f>F58</f>
        <v>K8S_CMS_VPA_MAX_ALLOWED_MEMORY: 7000Mi</v>
      </c>
    </row>
    <row r="135" spans="2:2" x14ac:dyDescent="0.2">
      <c r="B135" s="3" t="str">
        <f t="shared" ref="B135:B136" si="6">G34</f>
        <v>K8S_CMS_WORKER_HPA_CPU_ENABLE: True</v>
      </c>
    </row>
    <row r="136" spans="2:2" x14ac:dyDescent="0.2">
      <c r="B136" s="3" t="str">
        <f t="shared" si="6"/>
        <v>K8S_CMS_WORKER_HPA_MEMORY_ENABLE: True</v>
      </c>
    </row>
    <row r="137" spans="2:2" x14ac:dyDescent="0.2">
      <c r="B137" s="3" t="str">
        <f>G36</f>
        <v>K8S_CMS_WORKER_HPA_CPU_AVERAGE_UTILIZATION: 80</v>
      </c>
    </row>
    <row r="138" spans="2:2" x14ac:dyDescent="0.2">
      <c r="B138" s="3" t="str">
        <f t="shared" ref="B138:B159" si="7">G37</f>
        <v>K8S_CMS_WORKER_HPA_MEMORY_AVERAGE_UTILIZATION: 80</v>
      </c>
    </row>
    <row r="139" spans="2:2" x14ac:dyDescent="0.2">
      <c r="B139" s="3" t="str">
        <f t="shared" si="7"/>
        <v>K8S_CMS_WORKER_HPA_SCALE_UP_STABILIZATION_WINDOW_SECONDS: 0</v>
      </c>
    </row>
    <row r="140" spans="2:2" x14ac:dyDescent="0.2">
      <c r="B140" s="3" t="str">
        <f t="shared" si="7"/>
        <v>K8S_CMS_WORKER_HPA_SCALE_UP_PERCENT: 100</v>
      </c>
    </row>
    <row r="141" spans="2:2" x14ac:dyDescent="0.2">
      <c r="B141" s="3" t="str">
        <f t="shared" si="7"/>
        <v>K8S_CMS_WORKER_HPA_SCALE_UP_PODS: 4</v>
      </c>
    </row>
    <row r="142" spans="2:2" x14ac:dyDescent="0.2">
      <c r="B142" s="3" t="str">
        <f t="shared" si="7"/>
        <v>K8S_CMS_WORKER_HPA_SCALE_UP_PERIOD_SECONDS: 60</v>
      </c>
    </row>
    <row r="143" spans="2:2" x14ac:dyDescent="0.2">
      <c r="B143" s="3" t="str">
        <f t="shared" si="7"/>
        <v>K8S_CMS_WORKER_HPA_SCALE_DOWN_STABILIZATION_WINDOW_SECONDS: 300</v>
      </c>
    </row>
    <row r="144" spans="2:2" x14ac:dyDescent="0.2">
      <c r="B144" s="3" t="str">
        <f t="shared" si="7"/>
        <v>K8S_CMS_WORKER_HPA_SCALE_DOWN_PERCENT: 10</v>
      </c>
    </row>
    <row r="145" spans="2:2" x14ac:dyDescent="0.2">
      <c r="B145" s="3" t="str">
        <f t="shared" si="7"/>
        <v>K8S_CMS_WORKER_HPA_SCALE_DOWN_PODS: 1</v>
      </c>
    </row>
    <row r="146" spans="2:2" x14ac:dyDescent="0.2">
      <c r="B146" s="3" t="str">
        <f t="shared" si="7"/>
        <v>K8S_CMS_WORKER_HPA_SCALE_DOWN_PERIOD_SECONDS: 60</v>
      </c>
    </row>
    <row r="147" spans="2:2" x14ac:dyDescent="0.2">
      <c r="B147" s="3" t="str">
        <f t="shared" si="7"/>
        <v>K8S_CMS_WORKER_REPLICAS: 1</v>
      </c>
    </row>
    <row r="148" spans="2:2" x14ac:dyDescent="0.2">
      <c r="B148" s="3" t="str">
        <f t="shared" si="7"/>
        <v>K8S_CMS_WORKER_MAX_REPLICAS: 10</v>
      </c>
    </row>
    <row r="149" spans="2:2" x14ac:dyDescent="0.2">
      <c r="B149" s="3" t="str">
        <f t="shared" si="7"/>
        <v>K8S_CMS_WORKER_CPU_REQUEST: 250m</v>
      </c>
    </row>
    <row r="150" spans="2:2" x14ac:dyDescent="0.2">
      <c r="B150" s="3" t="str">
        <f t="shared" si="7"/>
        <v>K8S_CMS_WORKER_MEMORY_REQUEST: 1000Mi</v>
      </c>
    </row>
    <row r="151" spans="2:2" x14ac:dyDescent="0.2">
      <c r="B151" s="3" t="str">
        <f t="shared" si="7"/>
        <v>K8S_CMS_WORKER_CPU_LIMIT: 500m</v>
      </c>
    </row>
    <row r="152" spans="2:2" x14ac:dyDescent="0.2">
      <c r="B152" s="3" t="str">
        <f t="shared" si="7"/>
        <v>K8S_CMS_WORKER_MEMORY_LIMIT: 2000Mi</v>
      </c>
    </row>
    <row r="153" spans="2:2" x14ac:dyDescent="0.2">
      <c r="B153" s="3" t="str">
        <f t="shared" si="7"/>
        <v>K8S_CMS_WORKER_PDB_ENABLE: True</v>
      </c>
    </row>
    <row r="154" spans="2:2" x14ac:dyDescent="0.2">
      <c r="B154" s="3" t="str">
        <f t="shared" si="7"/>
        <v>K8S_CMS_WORKER_MIN_AVAILABLE_REPLICAS: 1</v>
      </c>
    </row>
    <row r="155" spans="2:2" x14ac:dyDescent="0.2">
      <c r="B155" s="3" t="str">
        <f t="shared" si="7"/>
        <v>K8S_CMS_WORKER_VPA_ENABLE: True</v>
      </c>
    </row>
    <row r="156" spans="2:2" x14ac:dyDescent="0.2">
      <c r="B156" s="3" t="str">
        <f t="shared" si="7"/>
        <v>K8S_CMS_WORKER_VPA_MIN_ALLOWED_CPU: 200m</v>
      </c>
    </row>
    <row r="157" spans="2:2" x14ac:dyDescent="0.2">
      <c r="B157" s="3" t="str">
        <f t="shared" si="7"/>
        <v>K8S_CMS_WORKER_VPA_MAX_ALLOWED_CPU: 2000m</v>
      </c>
    </row>
    <row r="158" spans="2:2" x14ac:dyDescent="0.2">
      <c r="B158" s="3" t="str">
        <f t="shared" si="7"/>
        <v>K8S_CMS_WORKER_VPA_MIN_ALLOWED_MEMORY: 200Mi</v>
      </c>
    </row>
    <row r="159" spans="2:2" x14ac:dyDescent="0.2">
      <c r="B159" s="3" t="str">
        <f t="shared" si="7"/>
        <v>K8S_CMS_WORKER_VPA_MAX_ALLOWED_MEMORY: 7000Mi</v>
      </c>
    </row>
    <row r="160" spans="2:2" x14ac:dyDescent="0.2">
      <c r="B160" s="3" t="str">
        <f t="shared" ref="B160:B161" si="8">H34</f>
        <v>K8S_CADDY_HPA_CPU_ENABLE: True</v>
      </c>
    </row>
    <row r="161" spans="2:2" x14ac:dyDescent="0.2">
      <c r="B161" s="3" t="str">
        <f t="shared" si="8"/>
        <v>K8S_CADDY_HPA_MEMORY_ENABLE: True</v>
      </c>
    </row>
    <row r="162" spans="2:2" x14ac:dyDescent="0.2">
      <c r="B162" s="3" t="str">
        <f>H36</f>
        <v>K8S_CADDY_HPA_CPU_AVERAGE_UTILIZATION: 80</v>
      </c>
    </row>
    <row r="163" spans="2:2" x14ac:dyDescent="0.2">
      <c r="B163" s="3" t="str">
        <f>H37</f>
        <v>K8S_CADDY_HPA_MEMORY_AVERAGE_UTILIZATION: 80</v>
      </c>
    </row>
    <row r="164" spans="2:2" x14ac:dyDescent="0.2">
      <c r="B164" s="3" t="str">
        <f>H38</f>
        <v>K8S_CADDY_HPA_SCALE_UP_STABILIZATION_WINDOW_SECONDS: 0</v>
      </c>
    </row>
    <row r="165" spans="2:2" x14ac:dyDescent="0.2">
      <c r="B165" s="3" t="str">
        <f>H39</f>
        <v>K8S_CADDY_HPA_SCALE_UP_PERCENT: 100</v>
      </c>
    </row>
    <row r="166" spans="2:2" x14ac:dyDescent="0.2">
      <c r="B166" s="3" t="str">
        <f>H40</f>
        <v>K8S_CADDY_HPA_SCALE_UP_PODS: 4</v>
      </c>
    </row>
    <row r="167" spans="2:2" x14ac:dyDescent="0.2">
      <c r="B167" s="3" t="str">
        <f>H41</f>
        <v>K8S_CADDY_HPA_SCALE_UP_PERIOD_SECONDS: 60</v>
      </c>
    </row>
    <row r="168" spans="2:2" x14ac:dyDescent="0.2">
      <c r="B168" s="3" t="str">
        <f>H42</f>
        <v>K8S_CADDY_HPA_SCALE_DOWN_STABILIZATION_WINDOW_SECONDS: 300</v>
      </c>
    </row>
    <row r="169" spans="2:2" x14ac:dyDescent="0.2">
      <c r="B169" s="3" t="str">
        <f>H43</f>
        <v>K8S_CADDY_HPA_SCALE_DOWN_PERCENT: 10</v>
      </c>
    </row>
    <row r="170" spans="2:2" x14ac:dyDescent="0.2">
      <c r="B170" s="3" t="str">
        <f>H44</f>
        <v>K8S_CADDY_HPA_SCALE_DOWN_PODS: 1</v>
      </c>
    </row>
    <row r="171" spans="2:2" x14ac:dyDescent="0.2">
      <c r="B171" s="3" t="str">
        <f>H45</f>
        <v>K8S_CADDY_HPA_SCALE_DOWN_PERIOD_SECONDS: 60</v>
      </c>
    </row>
    <row r="172" spans="2:2" x14ac:dyDescent="0.2">
      <c r="B172" s="3" t="str">
        <f>H46</f>
        <v>K8S_CADDY_REPLICAS: 1</v>
      </c>
    </row>
    <row r="173" spans="2:2" x14ac:dyDescent="0.2">
      <c r="B173" s="3" t="str">
        <f>H47</f>
        <v>K8S_CADDY_MAX_REPLICAS: 10</v>
      </c>
    </row>
    <row r="174" spans="2:2" x14ac:dyDescent="0.2">
      <c r="B174" s="3" t="str">
        <f>H48</f>
        <v>K8S_CADDY_CPU_REQUEST: 300m</v>
      </c>
    </row>
    <row r="175" spans="2:2" x14ac:dyDescent="0.2">
      <c r="B175" s="3" t="str">
        <f>H49</f>
        <v>K8S_CADDY_MEMORY_REQUEST: 500Mi</v>
      </c>
    </row>
    <row r="176" spans="2:2" x14ac:dyDescent="0.2">
      <c r="B176" s="3" t="str">
        <f>H50</f>
        <v>K8S_CADDY_CPU_LIMIT: 1000m</v>
      </c>
    </row>
    <row r="177" spans="2:2" x14ac:dyDescent="0.2">
      <c r="B177" s="3" t="str">
        <f>H51</f>
        <v>K8S_CADDY_MEMORY_LIMIT: 1000Mi</v>
      </c>
    </row>
    <row r="178" spans="2:2" x14ac:dyDescent="0.2">
      <c r="B178" s="3" t="str">
        <f>H52</f>
        <v>K8S_CADDY_PDB_ENABLE: True</v>
      </c>
    </row>
    <row r="179" spans="2:2" x14ac:dyDescent="0.2">
      <c r="B179" s="3" t="str">
        <f>H53</f>
        <v>K8S_CADDY_MIN_AVAILABLE_REPLICAS: 1</v>
      </c>
    </row>
    <row r="180" spans="2:2" x14ac:dyDescent="0.2">
      <c r="B180" s="3" t="str">
        <f>H54</f>
        <v>K8S_CADDY_VPA_ENABLE: True</v>
      </c>
    </row>
    <row r="181" spans="2:2" x14ac:dyDescent="0.2">
      <c r="B181" s="3" t="str">
        <f>H55</f>
        <v>K8S_CADDY_VPA_MIN_ALLOWED_CPU: 100m</v>
      </c>
    </row>
    <row r="182" spans="2:2" x14ac:dyDescent="0.2">
      <c r="B182" s="3" t="str">
        <f>H56</f>
        <v>K8S_CADDY_VPA_MAX_ALLOWED_CPU: 2000m</v>
      </c>
    </row>
    <row r="183" spans="2:2" x14ac:dyDescent="0.2">
      <c r="B183" s="3" t="str">
        <f>H57</f>
        <v>K8S_CADDY_VPA_MIN_ALLOWED_MEMORY: 100Mi</v>
      </c>
    </row>
    <row r="184" spans="2:2" x14ac:dyDescent="0.2">
      <c r="B184" s="3" t="str">
        <f>H58</f>
        <v>K8S_CADDY_VPA_MAX_ALLOWED_MEMORY: 2000Mi</v>
      </c>
    </row>
    <row r="185" spans="2:2" x14ac:dyDescent="0.2">
      <c r="B185" s="3" t="str">
        <f t="shared" ref="B185:B186" si="9">I34</f>
        <v>K8S_MFE_HPA_CPU_ENABLE: True</v>
      </c>
    </row>
    <row r="186" spans="2:2" x14ac:dyDescent="0.2">
      <c r="B186" s="3" t="str">
        <f t="shared" si="9"/>
        <v>K8S_MFE_HPA_MEMORY_ENABLE: True</v>
      </c>
    </row>
    <row r="187" spans="2:2" x14ac:dyDescent="0.2">
      <c r="B187" s="3" t="str">
        <f>I36</f>
        <v>K8S_MFE_HPA_CPU_AVERAGE_UTILIZATION: 80</v>
      </c>
    </row>
    <row r="188" spans="2:2" x14ac:dyDescent="0.2">
      <c r="B188" s="3" t="str">
        <f>I37</f>
        <v>K8S_MFE_HPA_MEMORY_AVERAGE_UTILIZATION: 80</v>
      </c>
    </row>
    <row r="189" spans="2:2" x14ac:dyDescent="0.2">
      <c r="B189" s="3" t="str">
        <f>I38</f>
        <v>K8S_MFE_HPA_SCALE_UP_STABILIZATION_WINDOW_SECONDS: 0</v>
      </c>
    </row>
    <row r="190" spans="2:2" x14ac:dyDescent="0.2">
      <c r="B190" s="3" t="str">
        <f>I39</f>
        <v>K8S_MFE_HPA_SCALE_UP_PERCENT: 100</v>
      </c>
    </row>
    <row r="191" spans="2:2" x14ac:dyDescent="0.2">
      <c r="B191" s="3" t="str">
        <f>I40</f>
        <v>K8S_MFE_HPA_SCALE_UP_PODS: 4</v>
      </c>
    </row>
    <row r="192" spans="2:2" x14ac:dyDescent="0.2">
      <c r="B192" s="3" t="str">
        <f>I41</f>
        <v>K8S_MFE_HPA_SCALE_UP_PERIOD_SECONDS: 60</v>
      </c>
    </row>
    <row r="193" spans="2:2" x14ac:dyDescent="0.2">
      <c r="B193" s="3" t="str">
        <f>I42</f>
        <v>K8S_MFE_HPA_SCALE_DOWN_STABILIZATION_WINDOW_SECONDS: 300</v>
      </c>
    </row>
    <row r="194" spans="2:2" x14ac:dyDescent="0.2">
      <c r="B194" s="3" t="str">
        <f>I43</f>
        <v>K8S_MFE_HPA_SCALE_DOWN_PERCENT: 10</v>
      </c>
    </row>
    <row r="195" spans="2:2" x14ac:dyDescent="0.2">
      <c r="B195" s="3" t="str">
        <f>I44</f>
        <v>K8S_MFE_HPA_SCALE_DOWN_PODS: 1</v>
      </c>
    </row>
    <row r="196" spans="2:2" x14ac:dyDescent="0.2">
      <c r="B196" s="3" t="str">
        <f>I45</f>
        <v>K8S_MFE_HPA_SCALE_DOWN_PERIOD_SECONDS: 60</v>
      </c>
    </row>
    <row r="197" spans="2:2" x14ac:dyDescent="0.2">
      <c r="B197" s="3" t="str">
        <f>I46</f>
        <v>K8S_MFE_REPLICAS: 1</v>
      </c>
    </row>
    <row r="198" spans="2:2" x14ac:dyDescent="0.2">
      <c r="B198" s="3" t="str">
        <f>I47</f>
        <v>K8S_MFE_MAX_REPLICAS: 10</v>
      </c>
    </row>
    <row r="199" spans="2:2" x14ac:dyDescent="0.2">
      <c r="B199" s="3" t="str">
        <f>I48</f>
        <v>K8S_MFE_CPU_REQUEST: 200m</v>
      </c>
    </row>
    <row r="200" spans="2:2" x14ac:dyDescent="0.2">
      <c r="B200" s="3" t="str">
        <f>I49</f>
        <v>K8S_MFE_MEMORY_REQUEST: 500Mi</v>
      </c>
    </row>
    <row r="201" spans="2:2" x14ac:dyDescent="0.2">
      <c r="B201" s="3" t="str">
        <f>I50</f>
        <v>K8S_MFE_CPU_LIMIT: 400m</v>
      </c>
    </row>
    <row r="202" spans="2:2" x14ac:dyDescent="0.2">
      <c r="B202" s="3" t="str">
        <f>I51</f>
        <v>K8S_MFE_MEMORY_LIMIT: 1000Mi</v>
      </c>
    </row>
    <row r="203" spans="2:2" x14ac:dyDescent="0.2">
      <c r="B203" s="3" t="str">
        <f>I52</f>
        <v>K8S_MFE_PDB_ENABLE: True</v>
      </c>
    </row>
    <row r="204" spans="2:2" x14ac:dyDescent="0.2">
      <c r="B204" s="3" t="str">
        <f>I53</f>
        <v>K8S_MFE_MIN_AVAILABLE_REPLICAS: 1</v>
      </c>
    </row>
    <row r="205" spans="2:2" x14ac:dyDescent="0.2">
      <c r="B205" s="3" t="str">
        <f>I54</f>
        <v>K8S_MFE_VPA_ENABLE: True</v>
      </c>
    </row>
    <row r="206" spans="2:2" x14ac:dyDescent="0.2">
      <c r="B206" s="3" t="str">
        <f>I55</f>
        <v>K8S_MFE_VPA_MIN_ALLOWED_CPU: 100m</v>
      </c>
    </row>
    <row r="207" spans="2:2" x14ac:dyDescent="0.2">
      <c r="B207" s="3" t="str">
        <f>I56</f>
        <v>K8S_MFE_VPA_MAX_ALLOWED_CPU: 2000m</v>
      </c>
    </row>
    <row r="208" spans="2:2" x14ac:dyDescent="0.2">
      <c r="B208" s="3" t="str">
        <f>I57</f>
        <v>K8S_MFE_VPA_MIN_ALLOWED_MEMORY: 100Mi</v>
      </c>
    </row>
    <row r="209" spans="2:2" x14ac:dyDescent="0.2">
      <c r="B209" s="3" t="str">
        <f>I58</f>
        <v>K8S_MFE_VPA_MAX_ALLOWED_MEMORY: 2000Mi</v>
      </c>
    </row>
  </sheetData>
  <mergeCells count="5">
    <mergeCell ref="A4:A15"/>
    <mergeCell ref="A16:A17"/>
    <mergeCell ref="A18:A19"/>
    <mergeCell ref="A20:A21"/>
    <mergeCell ref="A22:A2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Defaults</vt:lpstr>
      <vt:lpstr>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Gonzalez</dc:creator>
  <cp:lastModifiedBy>Andres Gonzalez</cp:lastModifiedBy>
  <dcterms:created xsi:type="dcterms:W3CDTF">2026-02-13T14:45:55Z</dcterms:created>
  <dcterms:modified xsi:type="dcterms:W3CDTF">2026-02-28T02:08:04Z</dcterms:modified>
</cp:coreProperties>
</file>